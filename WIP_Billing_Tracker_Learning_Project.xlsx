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1b43195ea46643e/Documents/Data Analyst 2026/10 Analytics/Portfolio/Excel/FLINT_practice_projects/wip-billing-tracker-practice/"/>
    </mc:Choice>
  </mc:AlternateContent>
  <xr:revisionPtr revIDLastSave="7" documentId="11_C0CC59BC24077EA1D210AC2CF5B893E744C6137C" xr6:coauthVersionLast="47" xr6:coauthVersionMax="47" xr10:uidLastSave="{AA7F84DD-3BA5-4466-9A0A-92304E61C804}"/>
  <bookViews>
    <workbookView xWindow="-120" yWindow="-120" windowWidth="29040" windowHeight="15720" tabRatio="500" xr2:uid="{00000000-000D-0000-FFFF-FFFF00000000}"/>
  </bookViews>
  <sheets>
    <sheet name="Overview" sheetId="1" r:id="rId1"/>
    <sheet name="Tracker" sheetId="2" r:id="rId2"/>
    <sheet name="Glossary" sheetId="3" r:id="rId3"/>
    <sheet name="Projects" sheetId="4" r:id="rId4"/>
    <sheet name="Time_Costs" sheetId="5" r:id="rId5"/>
    <sheet name="Billing" sheetId="6" r:id="rId6"/>
    <sheet name="Escalation" sheetId="7" r:id="rId7"/>
  </sheets>
  <definedNames>
    <definedName name="_xlnm._FilterDatabase" localSheetId="4" hidden="1">Time_Costs!$A$4:$I$52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6" l="1"/>
  <c r="D11" i="6"/>
  <c r="G10" i="6"/>
  <c r="H10" i="6" s="1"/>
  <c r="G9" i="6"/>
  <c r="H9" i="6" s="1"/>
  <c r="H8" i="6"/>
  <c r="G8" i="6"/>
  <c r="G7" i="6"/>
  <c r="H7" i="6" s="1"/>
  <c r="H6" i="6"/>
  <c r="G6" i="6"/>
  <c r="G5" i="6"/>
  <c r="G11" i="6" s="1"/>
  <c r="H53" i="5"/>
  <c r="F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J15" i="2"/>
  <c r="F15" i="2"/>
  <c r="E15" i="2"/>
  <c r="D15" i="2"/>
  <c r="C15" i="2"/>
  <c r="K15" i="2" s="1"/>
  <c r="B15" i="2"/>
  <c r="A15" i="2"/>
  <c r="X15" i="2" s="1"/>
  <c r="F14" i="2"/>
  <c r="E14" i="2"/>
  <c r="D14" i="2"/>
  <c r="C14" i="2"/>
  <c r="B14" i="2"/>
  <c r="A14" i="2"/>
  <c r="X14" i="2" s="1"/>
  <c r="J13" i="2"/>
  <c r="F13" i="2"/>
  <c r="E13" i="2"/>
  <c r="D13" i="2"/>
  <c r="C13" i="2"/>
  <c r="K13" i="2" s="1"/>
  <c r="B13" i="2"/>
  <c r="A13" i="2"/>
  <c r="F12" i="2"/>
  <c r="E12" i="2"/>
  <c r="D12" i="2"/>
  <c r="C12" i="2"/>
  <c r="B12" i="2"/>
  <c r="A12" i="2"/>
  <c r="X12" i="2" s="1"/>
  <c r="F11" i="2"/>
  <c r="E11" i="2"/>
  <c r="D11" i="2"/>
  <c r="C11" i="2"/>
  <c r="B11" i="2"/>
  <c r="A11" i="2"/>
  <c r="X11" i="2" s="1"/>
  <c r="R15" i="2" l="1"/>
  <c r="L11" i="2"/>
  <c r="T11" i="2"/>
  <c r="L12" i="2"/>
  <c r="T12" i="2"/>
  <c r="L13" i="2"/>
  <c r="T13" i="2"/>
  <c r="L14" i="2"/>
  <c r="T14" i="2"/>
  <c r="L15" i="2"/>
  <c r="T15" i="2"/>
  <c r="K12" i="2"/>
  <c r="H5" i="6"/>
  <c r="X13" i="2" s="1"/>
  <c r="M11" i="2"/>
  <c r="W11" i="2" s="1"/>
  <c r="M12" i="2"/>
  <c r="W12" i="2" s="1"/>
  <c r="M14" i="2"/>
  <c r="W14" i="2" s="1"/>
  <c r="R11" i="2"/>
  <c r="K11" i="2"/>
  <c r="K14" i="2"/>
  <c r="G11" i="2"/>
  <c r="O11" i="2"/>
  <c r="G12" i="2"/>
  <c r="O12" i="2"/>
  <c r="G13" i="2"/>
  <c r="M13" i="2" s="1"/>
  <c r="O13" i="2"/>
  <c r="G14" i="2"/>
  <c r="O14" i="2"/>
  <c r="G15" i="2"/>
  <c r="I15" i="2" s="1"/>
  <c r="O15" i="2"/>
  <c r="R12" i="2"/>
  <c r="R13" i="2"/>
  <c r="R14" i="2"/>
  <c r="H11" i="2"/>
  <c r="H12" i="2"/>
  <c r="H13" i="2"/>
  <c r="H14" i="2"/>
  <c r="H15" i="2"/>
  <c r="N13" i="2" l="1"/>
  <c r="P13" i="2" s="1"/>
  <c r="U13" i="2" s="1"/>
  <c r="W13" i="2"/>
  <c r="R16" i="2"/>
  <c r="M6" i="2" s="1"/>
  <c r="O16" i="2"/>
  <c r="S11" i="2"/>
  <c r="Q14" i="2"/>
  <c r="V14" i="2" s="1"/>
  <c r="S14" i="2"/>
  <c r="H16" i="2"/>
  <c r="M15" i="2"/>
  <c r="L16" i="2"/>
  <c r="K16" i="2"/>
  <c r="S13" i="2"/>
  <c r="Q13" i="2"/>
  <c r="V13" i="2" s="1"/>
  <c r="J11" i="2"/>
  <c r="I11" i="2"/>
  <c r="I16" i="2" s="1"/>
  <c r="N19" i="2" s="1"/>
  <c r="G16" i="2"/>
  <c r="J14" i="2"/>
  <c r="N14" i="2" s="1"/>
  <c r="P14" i="2" s="1"/>
  <c r="U14" i="2" s="1"/>
  <c r="I14" i="2"/>
  <c r="I13" i="2"/>
  <c r="S12" i="2"/>
  <c r="S15" i="2"/>
  <c r="J12" i="2"/>
  <c r="N12" i="2" s="1"/>
  <c r="P12" i="2" s="1"/>
  <c r="U12" i="2" s="1"/>
  <c r="I12" i="2"/>
  <c r="Q12" i="2" l="1"/>
  <c r="V12" i="2" s="1"/>
  <c r="S16" i="2"/>
  <c r="O6" i="2" s="1"/>
  <c r="N18" i="2"/>
  <c r="C6" i="2"/>
  <c r="J16" i="2"/>
  <c r="N11" i="2"/>
  <c r="W15" i="2"/>
  <c r="N15" i="2"/>
  <c r="P15" i="2" l="1"/>
  <c r="U15" i="2" s="1"/>
  <c r="Q15" i="2"/>
  <c r="V15" i="2" s="1"/>
  <c r="P11" i="2"/>
  <c r="N16" i="2"/>
  <c r="Q11" i="2"/>
  <c r="Q16" i="2" l="1"/>
  <c r="J6" i="2" s="1"/>
  <c r="V11" i="2"/>
  <c r="A6" i="2"/>
  <c r="U11" i="2"/>
  <c r="P16" i="2"/>
  <c r="F6" i="2" s="1"/>
  <c r="N17" i="2" l="1"/>
</calcChain>
</file>

<file path=xl/sharedStrings.xml><?xml version="1.0" encoding="utf-8"?>
<sst xmlns="http://schemas.openxmlformats.org/spreadsheetml/2006/main" count="501" uniqueCount="246">
  <si>
    <t>SELF-DIRECTED LEARNING AND PRACTICE PROJECT. Projects, clients, hours, rates and invoices are fictional. This is a simplified illustration of work-in-progress and revenue recognition concepts for learning. It is NOT accounting work, and accounting treatment decisions belong to an accountant.</t>
  </si>
  <si>
    <t>WIP, Billing and Revenue Recognition Tracker: Learning Project</t>
  </si>
  <si>
    <t>Purpose</t>
  </si>
  <si>
    <t>Learn the vocabulary and the mechanics of project billing: how much work has been done, how much has been invoiced, what is not yet invoiced, and what the client still owes. Practice noticing what needs a project manager or an accountant.</t>
  </si>
  <si>
    <t>Sheets</t>
  </si>
  <si>
    <t>Glossary (plain-English terms), Projects (5 fictional contracts), Time_Costs (hours and expenses, billable or not), Billing (invoices and payments), Tracker (the WIP view), Escalation (what I would decide vs pass on), Learning_Plan (2-week plan with course options).</t>
  </si>
  <si>
    <t>As-of date</t>
  </si>
  <si>
    <t>2026-09-30 (a month-end cut-off). Changing the date in Tracker cell B3 updates ages and flags.</t>
  </si>
  <si>
    <t>Two contract types</t>
  </si>
  <si>
    <t>Time and materials (T&amp;M): revenue builds as billable hours and billable expenses accrue. Fixed price: revenue is estimated from progress, here billable hours divided by budget hours. Real accounting treatment depends on the contract and the accounting framework, which an accountant decides.</t>
  </si>
  <si>
    <t>Method used here</t>
  </si>
  <si>
    <t>Illustration only: T&amp;M revenue = billable hours x rate + billable expenses. Fixed-price revenue = (billable hours / budget hours) x contract value, capped at 100%. Unbilled WIP = revenue earned minus invoiced (if positive). Billed in excess = invoiced minus revenue earned (if positive).</t>
  </si>
  <si>
    <t>Colour code</t>
  </si>
  <si>
    <t>Blue = typed input. Black = formula. Green = pulled from another sheet. Red or amber = something to look at.</t>
  </si>
  <si>
    <t>What this is not</t>
  </si>
  <si>
    <t>Not accounting experience. I do not set accounting policy, approve revenue or choose a method. The Escalation sheet shows what I would flag and to whom.</t>
  </si>
  <si>
    <t>WIP and Billing Tracker</t>
  </si>
  <si>
    <t>As-of date:</t>
  </si>
  <si>
    <t>Revenue earned to date ($)</t>
  </si>
  <si>
    <t>Invoiced to date ($)</t>
  </si>
  <si>
    <t>Unbilled WIP ($)</t>
  </si>
  <si>
    <t>Billed in excess ($)</t>
  </si>
  <si>
    <t>Paid ($)</t>
  </si>
  <si>
    <t>Outstanding AR ($)</t>
  </si>
  <si>
    <t>Fixed-price progress uses billable hours / budget hours as a simple stand-in for percentage of completion. The accountant would choose the real method.</t>
  </si>
  <si>
    <t>Project</t>
  </si>
  <si>
    <t>Name</t>
  </si>
  <si>
    <t>Contract type</t>
  </si>
  <si>
    <t>Billing rate ($/h)</t>
  </si>
  <si>
    <t>Contract value ($)</t>
  </si>
  <si>
    <t>Budget hours</t>
  </si>
  <si>
    <t>Billable hours</t>
  </si>
  <si>
    <t>Non-billable hours</t>
  </si>
  <si>
    <t>Total hours</t>
  </si>
  <si>
    <t>Billable labour value ($)</t>
  </si>
  <si>
    <t>Billable expenses ($)</t>
  </si>
  <si>
    <t>Non-billable expenses absorbed ($)</t>
  </si>
  <si>
    <t>% complete (fixed price)</t>
  </si>
  <si>
    <t>Days since last invoice</t>
  </si>
  <si>
    <t>Unbilled flag</t>
  </si>
  <si>
    <t>Billing-ahead flag</t>
  </si>
  <si>
    <t>Hours flag</t>
  </si>
  <si>
    <t>AR flag</t>
  </si>
  <si>
    <t>Total</t>
  </si>
  <si>
    <t>Check: revenue earned = invoiced + unbilled WIP - billed in excess</t>
  </si>
  <si>
    <t>Check: invoiced total = Billing sheet total</t>
  </si>
  <si>
    <t>Check: hours total = Time_Costs total</t>
  </si>
  <si>
    <t>Glossary (plain English)</t>
  </si>
  <si>
    <t>Written for my own learning. Definitions are simplified; the accountant's policy governs.</t>
  </si>
  <si>
    <t>Term</t>
  </si>
  <si>
    <t>Plain-English meaning</t>
  </si>
  <si>
    <t>Where it shows up in this workbook</t>
  </si>
  <si>
    <t>Mine to handle, or escalate?</t>
  </si>
  <si>
    <t>Billable</t>
  </si>
  <si>
    <t>Work or cost the client agrees to pay for under the contract.</t>
  </si>
  <si>
    <t>Billable? column on Time_Costs</t>
  </si>
  <si>
    <t>Check the flag against the contract; escalate if unclear</t>
  </si>
  <si>
    <t>Non-billable</t>
  </si>
  <si>
    <t>Work or cost the company absorbs (rework, internal training, overhead). It is not invoiced to the client.</t>
  </si>
  <si>
    <t>Billable? = N</t>
  </si>
  <si>
    <t>Flag unusual amounts to the PM</t>
  </si>
  <si>
    <t>Time and materials (T&amp;M)</t>
  </si>
  <si>
    <t>The client pays for hours at agreed rates plus approved expenses.</t>
  </si>
  <si>
    <t>W-101, W-102, W-104</t>
  </si>
  <si>
    <t>Apply rates from the contract; escalate rate questions</t>
  </si>
  <si>
    <t>Fixed price</t>
  </si>
  <si>
    <t>The client pays an agreed price for a defined scope regardless of hours worked.</t>
  </si>
  <si>
    <t>W-103, W-105</t>
  </si>
  <si>
    <t>Escalate progress and forecast questions</t>
  </si>
  <si>
    <t>Work in progress (WIP)</t>
  </si>
  <si>
    <t>Work performed on a project that has not yet been fully invoiced. In practice it can mean the unbilled value, or the costs built up on open jobs.</t>
  </si>
  <si>
    <t>Unbilled WIP column</t>
  </si>
  <si>
    <t>Report the number; accountant owns the treatment</t>
  </si>
  <si>
    <t>Unbilled WIP (unbilled revenue)</t>
  </si>
  <si>
    <t>Revenue earned to date minus amounts invoiced. Accountants may call it a contract asset or unbilled revenue.</t>
  </si>
  <si>
    <t>Tracker, Unbilled WIP</t>
  </si>
  <si>
    <t>Flag aging to PM; accountant books it</t>
  </si>
  <si>
    <t>Billed in excess (deferred revenue)</t>
  </si>
  <si>
    <t>Amounts invoiced ahead of the work done. Accountants may call it deferred revenue or a contract liability.</t>
  </si>
  <si>
    <t>Tracker, Billed in excess</t>
  </si>
  <si>
    <t>Escalate to accountant</t>
  </si>
  <si>
    <t>Revenue recognition</t>
  </si>
  <si>
    <t>The rules for when revenue is counted: as work is done or when control passes, not simply when an invoice is sent or cash arrives.</t>
  </si>
  <si>
    <t>Tracker, Revenue earned to date</t>
  </si>
  <si>
    <t>Accountant decides</t>
  </si>
  <si>
    <t>Percentage of completion</t>
  </si>
  <si>
    <t>One way to estimate progress on a fixed-price job. Here: billable hours divided by budget hours. Other methods use costs or milestones.</t>
  </si>
  <si>
    <t>Tracker, % complete</t>
  </si>
  <si>
    <t>PM supplies progress; accountant chooses the method</t>
  </si>
  <si>
    <t>Accrual</t>
  </si>
  <si>
    <t>Recording revenue or cost when it is earned or incurred, even if the invoice or payment comes later.</t>
  </si>
  <si>
    <t>Unbilled WIP is an accrual idea</t>
  </si>
  <si>
    <t>Accountant</t>
  </si>
  <si>
    <t>Cut-off</t>
  </si>
  <si>
    <t>The date that separates one period from the next. Work done by the cut-off belongs in that period.</t>
  </si>
  <si>
    <t>As-of date 2026-09-30</t>
  </si>
  <si>
    <t>Follow the month-end calendar; escalate late items</t>
  </si>
  <si>
    <t>Accounts receivable (AR)</t>
  </si>
  <si>
    <t>Money the client owes for invoices already issued.</t>
  </si>
  <si>
    <t>Billing, Balance; Tracker, Outstanding AR</t>
  </si>
  <si>
    <t>Follow up on aging; escalate disputes</t>
  </si>
  <si>
    <t>Aging</t>
  </si>
  <si>
    <t>How long an invoice has been unpaid, grouped into bands.</t>
  </si>
  <si>
    <t>Billing, Days outstanding</t>
  </si>
  <si>
    <t>Report weekly</t>
  </si>
  <si>
    <t>Pass-through expense</t>
  </si>
  <si>
    <t>A cost paid on the client's behalf and re-billed, often at cost.</t>
  </si>
  <si>
    <t>Billable expenses on W-101, W-102, W-104</t>
  </si>
  <si>
    <t>Check the contract allows it</t>
  </si>
  <si>
    <t>Change order</t>
  </si>
  <si>
    <t>A written change to scope, price or schedule agreed with the client.</t>
  </si>
  <si>
    <t>Not modelled</t>
  </si>
  <si>
    <t>Never assume one exists; ask the PM</t>
  </si>
  <si>
    <t>Credit memo</t>
  </si>
  <si>
    <t>A document that reduces an invoice already issued.</t>
  </si>
  <si>
    <t>Needs approval; escalate</t>
  </si>
  <si>
    <t>Write-off</t>
  </si>
  <si>
    <t>Treating an amount as uncollectible or not billable.</t>
  </si>
  <si>
    <t>Accountant and manager approval only</t>
  </si>
  <si>
    <t>The hours planned for a fixed-price job. Used here as the denominator for progress.</t>
  </si>
  <si>
    <t>Projects, Budget hours</t>
  </si>
  <si>
    <t>PM owns the budget; flag when hours near it</t>
  </si>
  <si>
    <t>Retainage / holdback</t>
  </si>
  <si>
    <t>A portion of an invoice the client withholds until a milestone or completion.</t>
  </si>
  <si>
    <t>Ask accountant how to record</t>
  </si>
  <si>
    <t>Projects (fictional)</t>
  </si>
  <si>
    <t>Client</t>
  </si>
  <si>
    <t>Billing rate ($/h, T&amp;M)</t>
  </si>
  <si>
    <t>Contract value ($, fixed price)</t>
  </si>
  <si>
    <t>Budget hours (fixed price)</t>
  </si>
  <si>
    <t>W-101</t>
  </si>
  <si>
    <t>Compressor Station Tie-in</t>
  </si>
  <si>
    <t>Client A (fictional)</t>
  </si>
  <si>
    <t>Time &amp; materials</t>
  </si>
  <si>
    <t>W-102</t>
  </si>
  <si>
    <t>Pipeline Integrity Dig Program</t>
  </si>
  <si>
    <t>Client B (fictional)</t>
  </si>
  <si>
    <t>W-103</t>
  </si>
  <si>
    <t>Tank Farm Fabrication</t>
  </si>
  <si>
    <t>Client C (fictional)</t>
  </si>
  <si>
    <t>W-104</t>
  </si>
  <si>
    <t>Site Remediation Support</t>
  </si>
  <si>
    <t>Client D (fictional)</t>
  </si>
  <si>
    <t>W-105</t>
  </si>
  <si>
    <t>Plant Turnaround Planning</t>
  </si>
  <si>
    <t>Client E (fictional)</t>
  </si>
  <si>
    <t>Hours and expenses</t>
  </si>
  <si>
    <t>Date</t>
  </si>
  <si>
    <t>Person / role</t>
  </si>
  <si>
    <t>Type</t>
  </si>
  <si>
    <t>Description</t>
  </si>
  <si>
    <t>Hours</t>
  </si>
  <si>
    <t>Billable? (Y/N)</t>
  </si>
  <si>
    <t>Expense amount ($)</t>
  </si>
  <si>
    <t>Project name</t>
  </si>
  <si>
    <t>Safety Advisor</t>
  </si>
  <si>
    <t>Labour</t>
  </si>
  <si>
    <t>Weekly time, billable</t>
  </si>
  <si>
    <t>Y</t>
  </si>
  <si>
    <t>Project Coordinator</t>
  </si>
  <si>
    <t>Field Supervisor</t>
  </si>
  <si>
    <t>Estimator</t>
  </si>
  <si>
    <t>Rework / internal training, not billable</t>
  </si>
  <si>
    <t>N</t>
  </si>
  <si>
    <t>n/a</t>
  </si>
  <si>
    <t>Expense</t>
  </si>
  <si>
    <t>Crane mat rental, re-billed at cost</t>
  </si>
  <si>
    <t>Travel and lodging, client site</t>
  </si>
  <si>
    <t>Planning software licence</t>
  </si>
  <si>
    <t>Office printing and supplies</t>
  </si>
  <si>
    <t>Scrap steel from cutting error</t>
  </si>
  <si>
    <t>Lab analysis fees, re-billed at cost</t>
  </si>
  <si>
    <t>Internal safety training, not billable</t>
  </si>
  <si>
    <t>Totals</t>
  </si>
  <si>
    <t>Invoices and payments</t>
  </si>
  <si>
    <t>Invoice</t>
  </si>
  <si>
    <t>Invoice date</t>
  </si>
  <si>
    <t>Amount invoiced ($)</t>
  </si>
  <si>
    <t>Amount paid ($)</t>
  </si>
  <si>
    <t>Date paid</t>
  </si>
  <si>
    <t>Balance owing ($)</t>
  </si>
  <si>
    <t>Days outstanding</t>
  </si>
  <si>
    <t>INV-2603</t>
  </si>
  <si>
    <t>INV-2604</t>
  </si>
  <si>
    <t>INV-2602</t>
  </si>
  <si>
    <t>INV-2601</t>
  </si>
  <si>
    <t>INV-2606</t>
  </si>
  <si>
    <t>INV-2605</t>
  </si>
  <si>
    <t>What I would handle, and what I would escalate</t>
  </si>
  <si>
    <t>Rule of thumb: I check, calculate, flag and prepare. I do not decide accounting treatment, change contract terms or approve write-offs.</t>
  </si>
  <si>
    <t>Situation</t>
  </si>
  <si>
    <t>Escalate to</t>
  </si>
  <si>
    <t>Time entry is missing, duplicated or at the wrong rate</t>
  </si>
  <si>
    <t>Run the checks, list the exceptions, ask the employee to correct</t>
  </si>
  <si>
    <t>Project manager if the contract rate is unclear</t>
  </si>
  <si>
    <t>Entry IDs, dates, rate entered vs contract rate</t>
  </si>
  <si>
    <t>Billable hours are not yet invoiced (unbilled WIP)</t>
  </si>
  <si>
    <t>Calculate the amount and the age, prepare the draft invoice data</t>
  </si>
  <si>
    <t>Project manager to confirm it can be billed; accountant for the accrual</t>
  </si>
  <si>
    <t>Project, hours, rate, amount, date of last invoice</t>
  </si>
  <si>
    <t>Unbilled WIP has no invoice for 45+ days</t>
  </si>
  <si>
    <t>Flag it on the tracker</t>
  </si>
  <si>
    <t>Project manager, then accountant</t>
  </si>
  <si>
    <t>Amount, dates of the work, last invoice date, any client approvals outstanding</t>
  </si>
  <si>
    <t>Invoiced amount is higher than work done (billed in excess)</t>
  </si>
  <si>
    <t>Show the amount and the percentage of completion used</t>
  </si>
  <si>
    <t>Accountant (deferred revenue treatment); project manager for progress</t>
  </si>
  <si>
    <t>Invoices, progress estimate, contract milestone terms</t>
  </si>
  <si>
    <t>Fixed-price job is near or over budget hours</t>
  </si>
  <si>
    <t>Flag it; do not change progress</t>
  </si>
  <si>
    <t>Project manager (forecast) and accountant (loss or revised estimate)</t>
  </si>
  <si>
    <t>Hours to date, budget hours, remaining work estimate</t>
  </si>
  <si>
    <t>How to measure progress on a fixed-price job</t>
  </si>
  <si>
    <t>Apply the method I am told to use</t>
  </si>
  <si>
    <t>Accountant decides the method</t>
  </si>
  <si>
    <t>Contract terms, available cost and hours data</t>
  </si>
  <si>
    <t>Client disputes an invoice or asks for a credit</t>
  </si>
  <si>
    <t>Record the dispute, hold related follow-up</t>
  </si>
  <si>
    <t>Project manager and manager; accountant for any credit memo</t>
  </si>
  <si>
    <t>Invoice, client message, supporting time and expense records</t>
  </si>
  <si>
    <t>Work done outside the contract scope (possible change order)</t>
  </si>
  <si>
    <t>Do not bill it; note the hours separately</t>
  </si>
  <si>
    <t>Project manager to confirm a change order exists</t>
  </si>
  <si>
    <t>Hours, descriptions, who requested the work</t>
  </si>
  <si>
    <t>Expense is billable or not (unclear)</t>
  </si>
  <si>
    <t>Check the contract and past practice</t>
  </si>
  <si>
    <t>Project manager; accountant for tax treatment</t>
  </si>
  <si>
    <t>Receipt, contract clause, amount</t>
  </si>
  <si>
    <t>Month-end cut-off: late timesheets or invoices</t>
  </si>
  <si>
    <t>Chase the timesheets, list items by project</t>
  </si>
  <si>
    <t>Accountant to decide what is accrued</t>
  </si>
  <si>
    <t>List of outstanding items with amounts</t>
  </si>
  <si>
    <t>Invoice unpaid 30+ days</t>
  </si>
  <si>
    <t>List it on the AR report and send the reminder</t>
  </si>
  <si>
    <t>Manager or accounting for escalation to the client</t>
  </si>
  <si>
    <t>Invoice, days outstanding, contact history</t>
  </si>
  <si>
    <t>Write-off or adjustment requested</t>
  </si>
  <si>
    <t>Never post it</t>
  </si>
  <si>
    <t>Manager and accountant approval</t>
  </si>
  <si>
    <t>Reason, amount, supporting documents</t>
  </si>
  <si>
    <t>Anything about tax (GST, holdbacks, withholding)</t>
  </si>
  <si>
    <t>Note the question</t>
  </si>
  <si>
    <t>Invoice, contract, the specific question</t>
  </si>
  <si>
    <t>Understand work-in-progress, billable vs non-billable costs, and what to escalate</t>
  </si>
  <si>
    <t>Next Steps</t>
  </si>
  <si>
    <t xml:space="preserve">Relevant Information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</si>
</sst>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\$#,##0"/>
    <numFmt numFmtId="166" formatCode="#,##0.0"/>
    <numFmt numFmtId="167" formatCode="0.0%"/>
    <numFmt numFmtId="168" formatCode="0.0"/>
  </numFmts>
  <fonts count="10" x14ac:knownFonts="1">
    <font>
      <sz val="11"/>
      <color theme="1"/>
      <name val="Calibri"/>
      <family val="2"/>
      <charset val="1"/>
    </font>
    <font>
      <b/>
      <sz val="10"/>
      <color rgb="FF7F6000"/>
      <name val="Arial"/>
      <family val="2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b/>
      <sz val="13"/>
      <color rgb="FF1F3864"/>
      <name val="Arial"/>
      <family val="2"/>
    </font>
    <font>
      <sz val="10"/>
      <color rgb="FF008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9F9F9"/>
      </patternFill>
    </fill>
    <fill>
      <patternFill patternType="solid">
        <fgColor rgb="FFFFFF99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/>
    <xf numFmtId="164" fontId="6" fillId="3" borderId="1" xfId="0" applyNumberFormat="1" applyFont="1" applyFill="1" applyBorder="1"/>
    <xf numFmtId="0" fontId="3" fillId="0" borderId="1" xfId="0" applyFont="1" applyBorder="1"/>
    <xf numFmtId="0" fontId="7" fillId="4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165" fontId="9" fillId="0" borderId="1" xfId="0" applyNumberFormat="1" applyFont="1" applyBorder="1"/>
    <xf numFmtId="3" fontId="9" fillId="0" borderId="1" xfId="0" applyNumberFormat="1" applyFont="1" applyBorder="1"/>
    <xf numFmtId="166" fontId="9" fillId="0" borderId="1" xfId="0" applyNumberFormat="1" applyFont="1" applyBorder="1"/>
    <xf numFmtId="166" fontId="5" fillId="0" borderId="1" xfId="0" applyNumberFormat="1" applyFont="1" applyBorder="1"/>
    <xf numFmtId="3" fontId="5" fillId="0" borderId="1" xfId="0" applyNumberFormat="1" applyFont="1" applyBorder="1"/>
    <xf numFmtId="167" fontId="5" fillId="0" borderId="1" xfId="0" applyNumberFormat="1" applyFont="1" applyBorder="1"/>
    <xf numFmtId="1" fontId="5" fillId="0" borderId="1" xfId="0" applyNumberFormat="1" applyFont="1" applyBorder="1"/>
    <xf numFmtId="0" fontId="5" fillId="0" borderId="1" xfId="0" applyFont="1" applyBorder="1"/>
    <xf numFmtId="166" fontId="4" fillId="0" borderId="1" xfId="0" applyNumberFormat="1" applyFont="1" applyBorder="1"/>
    <xf numFmtId="3" fontId="4" fillId="0" borderId="1" xfId="0" applyNumberFormat="1" applyFont="1" applyBorder="1"/>
    <xf numFmtId="0" fontId="6" fillId="0" borderId="1" xfId="0" applyFont="1" applyBorder="1"/>
    <xf numFmtId="165" fontId="6" fillId="0" borderId="1" xfId="0" applyNumberFormat="1" applyFont="1" applyBorder="1"/>
    <xf numFmtId="3" fontId="6" fillId="0" borderId="1" xfId="0" applyNumberFormat="1" applyFont="1" applyBorder="1"/>
    <xf numFmtId="164" fontId="6" fillId="0" borderId="1" xfId="0" applyNumberFormat="1" applyFont="1" applyBorder="1"/>
    <xf numFmtId="168" fontId="6" fillId="0" borderId="1" xfId="0" applyNumberFormat="1" applyFont="1" applyBorder="1"/>
    <xf numFmtId="4" fontId="6" fillId="0" borderId="1" xfId="0" applyNumberFormat="1" applyFont="1" applyBorder="1"/>
    <xf numFmtId="4" fontId="4" fillId="0" borderId="1" xfId="0" applyNumberFormat="1" applyFont="1" applyBorder="1"/>
    <xf numFmtId="4" fontId="5" fillId="0" borderId="1" xfId="0" applyNumberFormat="1" applyFont="1" applyBorder="1"/>
    <xf numFmtId="1" fontId="9" fillId="0" borderId="1" xfId="0" applyNumberFormat="1" applyFont="1" applyBorder="1"/>
    <xf numFmtId="0" fontId="1" fillId="2" borderId="0" xfId="0" applyFont="1" applyFill="1" applyAlignment="1">
      <alignment vertical="center" wrapText="1"/>
    </xf>
    <xf numFmtId="165" fontId="8" fillId="0" borderId="1" xfId="0" applyNumberFormat="1" applyFont="1" applyBorder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FF2CC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78787"/>
      <rgbColor rgb="FF9999FF"/>
      <rgbColor rgb="FFC0504D"/>
      <rgbColor rgb="FFFFF2CC"/>
      <rgbColor rgb="FFF9F9F9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Revenue earned vs invoiced by project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Tracker!$N$10</c:f>
              <c:strCache>
                <c:ptCount val="1"/>
                <c:pt idx="0">
                  <c:v>Revenue earned to date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Tracker!$A$11:$A$15</c:f>
              <c:strCache>
                <c:ptCount val="5"/>
                <c:pt idx="0">
                  <c:v>W-101</c:v>
                </c:pt>
                <c:pt idx="1">
                  <c:v>W-102</c:v>
                </c:pt>
                <c:pt idx="2">
                  <c:v>W-103</c:v>
                </c:pt>
                <c:pt idx="3">
                  <c:v>W-104</c:v>
                </c:pt>
                <c:pt idx="4">
                  <c:v>W-105</c:v>
                </c:pt>
              </c:strCache>
            </c:strRef>
          </c:cat>
          <c:val>
            <c:numRef>
              <c:f>Tracker!$N$11:$N$15</c:f>
              <c:numCache>
                <c:formatCode>#,##0</c:formatCode>
                <c:ptCount val="5"/>
                <c:pt idx="0">
                  <c:v>38850</c:v>
                </c:pt>
                <c:pt idx="1">
                  <c:v>23400</c:v>
                </c:pt>
                <c:pt idx="2">
                  <c:v>165600</c:v>
                </c:pt>
                <c:pt idx="3">
                  <c:v>17050</c:v>
                </c:pt>
                <c:pt idx="4">
                  <c:v>21600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77-4F5C-A11C-0DFC262A9047}"/>
            </c:ext>
          </c:extLst>
        </c:ser>
        <c:ser>
          <c:idx val="1"/>
          <c:order val="1"/>
          <c:tx>
            <c:strRef>
              <c:f>Tracker!$O$10</c:f>
              <c:strCache>
                <c:ptCount val="1"/>
                <c:pt idx="0">
                  <c:v>Invoiced to date ($)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Tracker!$A$11:$A$15</c:f>
              <c:strCache>
                <c:ptCount val="5"/>
                <c:pt idx="0">
                  <c:v>W-101</c:v>
                </c:pt>
                <c:pt idx="1">
                  <c:v>W-102</c:v>
                </c:pt>
                <c:pt idx="2">
                  <c:v>W-103</c:v>
                </c:pt>
                <c:pt idx="3">
                  <c:v>W-104</c:v>
                </c:pt>
                <c:pt idx="4">
                  <c:v>W-105</c:v>
                </c:pt>
              </c:strCache>
            </c:strRef>
          </c:cat>
          <c:val>
            <c:numRef>
              <c:f>Tracker!$O$11:$O$15</c:f>
              <c:numCache>
                <c:formatCode>#,##0</c:formatCode>
                <c:ptCount val="5"/>
                <c:pt idx="0">
                  <c:v>30000</c:v>
                </c:pt>
                <c:pt idx="1">
                  <c:v>23400</c:v>
                </c:pt>
                <c:pt idx="2">
                  <c:v>150000</c:v>
                </c:pt>
                <c:pt idx="3">
                  <c:v>0</c:v>
                </c:pt>
                <c:pt idx="4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77-4F5C-A11C-0DFC262A9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357467"/>
        <c:axId val="54118675"/>
      </c:barChart>
      <c:catAx>
        <c:axId val="793574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118675"/>
        <c:crosses val="autoZero"/>
        <c:auto val="1"/>
        <c:lblAlgn val="ctr"/>
        <c:lblOffset val="100"/>
        <c:noMultiLvlLbl val="0"/>
      </c:catAx>
      <c:valAx>
        <c:axId val="541186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3574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160560</xdr:rowOff>
    </xdr:from>
    <xdr:to>
      <xdr:col>7</xdr:col>
      <xdr:colOff>503640</xdr:colOff>
      <xdr:row>34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1"/>
  <sheetViews>
    <sheetView tabSelected="1" zoomScaleNormal="100" workbookViewId="0">
      <selection activeCell="I7" sqref="I7"/>
    </sheetView>
  </sheetViews>
  <sheetFormatPr defaultColWidth="8.7109375" defaultRowHeight="15" x14ac:dyDescent="0.25"/>
  <cols>
    <col min="1" max="1" width="30" customWidth="1"/>
    <col min="2" max="2" width="100" customWidth="1"/>
  </cols>
  <sheetData>
    <row r="1" spans="1:2" ht="47.25" customHeight="1" x14ac:dyDescent="0.25">
      <c r="A1" s="29" t="s">
        <v>0</v>
      </c>
      <c r="B1" s="29"/>
    </row>
    <row r="2" spans="1:2" ht="18" x14ac:dyDescent="0.25">
      <c r="A2" s="1" t="s">
        <v>1</v>
      </c>
    </row>
    <row r="3" spans="1:2" x14ac:dyDescent="0.25">
      <c r="A3" s="2" t="s">
        <v>243</v>
      </c>
    </row>
    <row r="5" spans="1:2" ht="48" customHeight="1" x14ac:dyDescent="0.25">
      <c r="A5" s="3" t="s">
        <v>2</v>
      </c>
      <c r="B5" s="4" t="s">
        <v>3</v>
      </c>
    </row>
    <row r="6" spans="1:2" ht="48" customHeight="1" x14ac:dyDescent="0.25">
      <c r="A6" s="3" t="s">
        <v>4</v>
      </c>
      <c r="B6" s="4" t="s">
        <v>5</v>
      </c>
    </row>
    <row r="7" spans="1:2" ht="48" customHeight="1" x14ac:dyDescent="0.25">
      <c r="A7" s="3" t="s">
        <v>6</v>
      </c>
      <c r="B7" s="4" t="s">
        <v>7</v>
      </c>
    </row>
    <row r="8" spans="1:2" ht="48" customHeight="1" x14ac:dyDescent="0.25">
      <c r="A8" s="3" t="s">
        <v>8</v>
      </c>
      <c r="B8" s="4" t="s">
        <v>9</v>
      </c>
    </row>
    <row r="9" spans="1:2" ht="48" customHeight="1" x14ac:dyDescent="0.25">
      <c r="A9" s="3" t="s">
        <v>10</v>
      </c>
      <c r="B9" s="4" t="s">
        <v>11</v>
      </c>
    </row>
    <row r="10" spans="1:2" ht="48" customHeight="1" x14ac:dyDescent="0.25">
      <c r="A10" s="3" t="s">
        <v>12</v>
      </c>
      <c r="B10" s="4" t="s">
        <v>13</v>
      </c>
    </row>
    <row r="11" spans="1:2" ht="48" customHeight="1" x14ac:dyDescent="0.25">
      <c r="A11" s="3" t="s">
        <v>14</v>
      </c>
      <c r="B11" s="4" t="s">
        <v>15</v>
      </c>
    </row>
  </sheetData>
  <mergeCells count="1">
    <mergeCell ref="A1:B1"/>
  </mergeCell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9"/>
  <sheetViews>
    <sheetView zoomScaleNormal="10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sqref="A1:V1"/>
    </sheetView>
  </sheetViews>
  <sheetFormatPr defaultColWidth="8.7109375" defaultRowHeight="15" x14ac:dyDescent="0.25"/>
  <cols>
    <col min="1" max="1" width="11" customWidth="1"/>
    <col min="2" max="2" width="30" customWidth="1"/>
    <col min="3" max="3" width="16" customWidth="1"/>
    <col min="4" max="4" width="9" customWidth="1"/>
    <col min="5" max="5" width="11" customWidth="1"/>
    <col min="6" max="7" width="9" customWidth="1"/>
    <col min="8" max="8" width="10" customWidth="1"/>
    <col min="9" max="9" width="9" customWidth="1"/>
    <col min="10" max="10" width="12" customWidth="1"/>
    <col min="11" max="11" width="11" customWidth="1"/>
    <col min="12" max="12" width="13" customWidth="1"/>
    <col min="13" max="13" width="11" customWidth="1"/>
    <col min="14" max="14" width="13" customWidth="1"/>
    <col min="15" max="15" width="12" customWidth="1"/>
    <col min="16" max="17" width="11" customWidth="1"/>
    <col min="18" max="18" width="10" customWidth="1"/>
    <col min="19" max="19" width="12" customWidth="1"/>
    <col min="20" max="20" width="10" customWidth="1"/>
    <col min="21" max="21" width="28" customWidth="1"/>
    <col min="22" max="22" width="15" customWidth="1"/>
    <col min="23" max="23" width="22" customWidth="1"/>
    <col min="24" max="24" width="13" customWidth="1"/>
  </cols>
  <sheetData>
    <row r="1" spans="1:24" ht="30" customHeight="1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4" ht="18" x14ac:dyDescent="0.25">
      <c r="A2" s="1" t="s">
        <v>16</v>
      </c>
    </row>
    <row r="3" spans="1:24" x14ac:dyDescent="0.25">
      <c r="A3" s="5" t="s">
        <v>17</v>
      </c>
      <c r="B3" s="6">
        <v>46295</v>
      </c>
    </row>
    <row r="5" spans="1:24" ht="30" customHeight="1" x14ac:dyDescent="0.25">
      <c r="A5" s="31" t="s">
        <v>18</v>
      </c>
      <c r="B5" s="31"/>
      <c r="C5" s="31" t="s">
        <v>19</v>
      </c>
      <c r="D5" s="31"/>
      <c r="E5" s="31"/>
      <c r="F5" s="31" t="s">
        <v>20</v>
      </c>
      <c r="G5" s="31"/>
      <c r="H5" s="31"/>
      <c r="I5" s="31"/>
      <c r="J5" s="31" t="s">
        <v>21</v>
      </c>
      <c r="K5" s="31"/>
      <c r="L5" s="31"/>
      <c r="M5" s="31" t="s">
        <v>22</v>
      </c>
      <c r="N5" s="31"/>
      <c r="O5" s="31" t="s">
        <v>23</v>
      </c>
      <c r="P5" s="31"/>
    </row>
    <row r="6" spans="1:24" ht="25.5" customHeight="1" x14ac:dyDescent="0.25">
      <c r="A6" s="30">
        <f>N16</f>
        <v>266500</v>
      </c>
      <c r="B6" s="30"/>
      <c r="C6" s="30">
        <f>O16</f>
        <v>233400</v>
      </c>
      <c r="D6" s="30"/>
      <c r="E6" s="30"/>
      <c r="F6" s="30">
        <f>P16</f>
        <v>41500</v>
      </c>
      <c r="G6" s="30"/>
      <c r="H6" s="30"/>
      <c r="I6" s="30"/>
      <c r="J6" s="30">
        <f>Q16</f>
        <v>8400</v>
      </c>
      <c r="K6" s="30"/>
      <c r="L6" s="30"/>
      <c r="M6" s="30">
        <f>R16</f>
        <v>132000</v>
      </c>
      <c r="N6" s="30"/>
      <c r="O6" s="30">
        <f>S16</f>
        <v>101400</v>
      </c>
      <c r="P6" s="30"/>
    </row>
    <row r="8" spans="1:24" x14ac:dyDescent="0.25">
      <c r="A8" s="7" t="s">
        <v>24</v>
      </c>
    </row>
    <row r="10" spans="1:24" ht="57.75" customHeight="1" x14ac:dyDescent="0.25">
      <c r="A10" s="8" t="s">
        <v>25</v>
      </c>
      <c r="B10" s="8" t="s">
        <v>26</v>
      </c>
      <c r="C10" s="8" t="s">
        <v>27</v>
      </c>
      <c r="D10" s="8" t="s">
        <v>28</v>
      </c>
      <c r="E10" s="8" t="s">
        <v>29</v>
      </c>
      <c r="F10" s="8" t="s">
        <v>30</v>
      </c>
      <c r="G10" s="8" t="s">
        <v>31</v>
      </c>
      <c r="H10" s="8" t="s">
        <v>32</v>
      </c>
      <c r="I10" s="8" t="s">
        <v>33</v>
      </c>
      <c r="J10" s="8" t="s">
        <v>34</v>
      </c>
      <c r="K10" s="8" t="s">
        <v>35</v>
      </c>
      <c r="L10" s="8" t="s">
        <v>36</v>
      </c>
      <c r="M10" s="8" t="s">
        <v>37</v>
      </c>
      <c r="N10" s="8" t="s">
        <v>18</v>
      </c>
      <c r="O10" s="8" t="s">
        <v>19</v>
      </c>
      <c r="P10" s="8" t="s">
        <v>20</v>
      </c>
      <c r="Q10" s="8" t="s">
        <v>21</v>
      </c>
      <c r="R10" s="8" t="s">
        <v>22</v>
      </c>
      <c r="S10" s="8" t="s">
        <v>23</v>
      </c>
      <c r="T10" s="8" t="s">
        <v>38</v>
      </c>
      <c r="U10" s="8" t="s">
        <v>39</v>
      </c>
      <c r="V10" s="8" t="s">
        <v>40</v>
      </c>
      <c r="W10" s="8" t="s">
        <v>41</v>
      </c>
      <c r="X10" s="8" t="s">
        <v>42</v>
      </c>
    </row>
    <row r="11" spans="1:24" x14ac:dyDescent="0.25">
      <c r="A11" s="9" t="str">
        <f>Projects!A5</f>
        <v>W-101</v>
      </c>
      <c r="B11" s="9" t="str">
        <f>Projects!B5</f>
        <v>Compressor Station Tie-in</v>
      </c>
      <c r="C11" s="9" t="str">
        <f>Projects!D5</f>
        <v>Time &amp; materials</v>
      </c>
      <c r="D11" s="10">
        <f>IF(Projects!E5="","",Projects!E5)</f>
        <v>115</v>
      </c>
      <c r="E11" s="10" t="str">
        <f>IF(Projects!F5="","",Projects!F5)</f>
        <v/>
      </c>
      <c r="F11" s="11" t="str">
        <f>IF(Projects!G5="","",Projects!G5)</f>
        <v/>
      </c>
      <c r="G11" s="12">
        <f>SUMIFS(Time_Costs!$F$5:$F$52,Time_Costs!$B$5:$B$52,A11,Time_Costs!$D$5:$D$52,"Labour",Time_Costs!$G$5:$G$52,"Y")</f>
        <v>310</v>
      </c>
      <c r="H11" s="12">
        <f>SUMIFS(Time_Costs!$F$5:$F$52,Time_Costs!$B$5:$B$52,A11,Time_Costs!$D$5:$D$52,"Labour",Time_Costs!$G$5:$G$52,"N")</f>
        <v>12</v>
      </c>
      <c r="I11" s="13">
        <f>G11+H11</f>
        <v>322</v>
      </c>
      <c r="J11" s="14">
        <f>IF(C11="Time &amp; materials",G11*D11,0)</f>
        <v>35650</v>
      </c>
      <c r="K11" s="11">
        <f>IF(C11="Time &amp; materials",SUMIFS(Time_Costs!$H$5:$H$52,Time_Costs!$B$5:$B$52,A11,Time_Costs!$D$5:$D$52,"Expense",Time_Costs!$G$5:$G$52,"Y"),0)</f>
        <v>3200</v>
      </c>
      <c r="L11" s="11">
        <f>SUMIFS(Time_Costs!$H$5:$H$52,Time_Costs!$B$5:$B$52,A11,Time_Costs!$D$5:$D$52,"Expense",Time_Costs!$G$5:$G$52,"N")</f>
        <v>450</v>
      </c>
      <c r="M11" s="15" t="str">
        <f>IF(C11="Fixed price",MIN(1,G11/F11),"")</f>
        <v/>
      </c>
      <c r="N11" s="14">
        <f>IF(C11="Fixed price",M11*E11,J11+K11)</f>
        <v>38850</v>
      </c>
      <c r="O11" s="11">
        <f>SUMIFS(Billing!$D$5:$D$10,Billing!$C$5:$C$10,A11)</f>
        <v>30000</v>
      </c>
      <c r="P11" s="14">
        <f>MAX(N11-O11,0)</f>
        <v>8850</v>
      </c>
      <c r="Q11" s="14">
        <f>MAX(O11-N11,0)</f>
        <v>0</v>
      </c>
      <c r="R11" s="11">
        <f>SUMIFS(Billing!$E$5:$E$10,Billing!$C$5:$C$10,A11)</f>
        <v>0</v>
      </c>
      <c r="S11" s="14">
        <f>O11-R11</f>
        <v>30000</v>
      </c>
      <c r="T11" s="16">
        <f>IF(COUNTIFS(Billing!$C$5:$C$10,A11)=0,"None",$B$3-SUMPRODUCT(MAX((Billing!$C$5:$C$10=A11)*Billing!$B$5:$B$10)))</f>
        <v>33</v>
      </c>
      <c r="U11" s="17" t="str">
        <f>IF(P11&gt;0,IF(T11="None","UNBILLED: never invoiced",IF(T11&gt;45,"UNBILLED: 45+ days since invoice","")),"")</f>
        <v/>
      </c>
      <c r="V11" s="17" t="str">
        <f>IF(Q11&gt;0,"BILLED AHEAD","")</f>
        <v/>
      </c>
      <c r="W11" s="17" t="str">
        <f>IF(AND(C11="Fixed price",M11&gt;=0.9),"NEAR BUDGET HOURS","")</f>
        <v/>
      </c>
      <c r="X11" s="17" t="str">
        <f>IF(SUMIFS(Billing!$G$5:$G$10,Billing!$C$5:$C$10,A11,Billing!$H$5:$H$10,"&gt;30")&gt;0,"AR 30+ DAYS","")</f>
        <v>AR 30+ DAYS</v>
      </c>
    </row>
    <row r="12" spans="1:24" x14ac:dyDescent="0.25">
      <c r="A12" s="9" t="str">
        <f>Projects!A6</f>
        <v>W-102</v>
      </c>
      <c r="B12" s="9" t="str">
        <f>Projects!B6</f>
        <v>Pipeline Integrity Dig Program</v>
      </c>
      <c r="C12" s="9" t="str">
        <f>Projects!D6</f>
        <v>Time &amp; materials</v>
      </c>
      <c r="D12" s="10">
        <f>IF(Projects!E6="","",Projects!E6)</f>
        <v>98</v>
      </c>
      <c r="E12" s="10" t="str">
        <f>IF(Projects!F6="","",Projects!F6)</f>
        <v/>
      </c>
      <c r="F12" s="11" t="str">
        <f>IF(Projects!G6="","",Projects!G6)</f>
        <v/>
      </c>
      <c r="G12" s="12">
        <f>SUMIFS(Time_Costs!$F$5:$F$52,Time_Costs!$B$5:$B$52,A12,Time_Costs!$D$5:$D$52,"Labour",Time_Costs!$G$5:$G$52,"Y")</f>
        <v>220</v>
      </c>
      <c r="H12" s="12">
        <f>SUMIFS(Time_Costs!$F$5:$F$52,Time_Costs!$B$5:$B$52,A12,Time_Costs!$D$5:$D$52,"Labour",Time_Costs!$G$5:$G$52,"N")</f>
        <v>0</v>
      </c>
      <c r="I12" s="13">
        <f>G12+H12</f>
        <v>220</v>
      </c>
      <c r="J12" s="14">
        <f>IF(C12="Time &amp; materials",G12*D12,0)</f>
        <v>21560</v>
      </c>
      <c r="K12" s="11">
        <f>IF(C12="Time &amp; materials",SUMIFS(Time_Costs!$H$5:$H$52,Time_Costs!$B$5:$B$52,A12,Time_Costs!$D$5:$D$52,"Expense",Time_Costs!$G$5:$G$52,"Y"),0)</f>
        <v>1840</v>
      </c>
      <c r="L12" s="11">
        <f>SUMIFS(Time_Costs!$H$5:$H$52,Time_Costs!$B$5:$B$52,A12,Time_Costs!$D$5:$D$52,"Expense",Time_Costs!$G$5:$G$52,"N")</f>
        <v>0</v>
      </c>
      <c r="M12" s="15" t="str">
        <f>IF(C12="Fixed price",MIN(1,G12/F12),"")</f>
        <v/>
      </c>
      <c r="N12" s="14">
        <f>IF(C12="Fixed price",M12*E12,J12+K12)</f>
        <v>23400</v>
      </c>
      <c r="O12" s="11">
        <f>SUMIFS(Billing!$D$5:$D$10,Billing!$C$5:$C$10,A12)</f>
        <v>23400</v>
      </c>
      <c r="P12" s="14">
        <f>MAX(N12-O12,0)</f>
        <v>0</v>
      </c>
      <c r="Q12" s="14">
        <f>MAX(O12-N12,0)</f>
        <v>0</v>
      </c>
      <c r="R12" s="11">
        <f>SUMIFS(Billing!$E$5:$E$10,Billing!$C$5:$C$10,A12)</f>
        <v>12000</v>
      </c>
      <c r="S12" s="14">
        <f>O12-R12</f>
        <v>11400</v>
      </c>
      <c r="T12" s="16">
        <f>IF(COUNTIFS(Billing!$C$5:$C$10,A12)=0,"None",$B$3-SUMPRODUCT(MAX((Billing!$C$5:$C$10=A12)*Billing!$B$5:$B$10)))</f>
        <v>15</v>
      </c>
      <c r="U12" s="17" t="str">
        <f>IF(P12&gt;0,IF(T12="None","UNBILLED: never invoiced",IF(T12&gt;45,"UNBILLED: 45+ days since invoice","")),"")</f>
        <v/>
      </c>
      <c r="V12" s="17" t="str">
        <f>IF(Q12&gt;0,"BILLED AHEAD","")</f>
        <v/>
      </c>
      <c r="W12" s="17" t="str">
        <f>IF(AND(C12="Fixed price",M12&gt;=0.9),"NEAR BUDGET HOURS","")</f>
        <v/>
      </c>
      <c r="X12" s="17" t="str">
        <f>IF(SUMIFS(Billing!$G$5:$G$10,Billing!$C$5:$C$10,A12,Billing!$H$5:$H$10,"&gt;30")&gt;0,"AR 30+ DAYS","")</f>
        <v/>
      </c>
    </row>
    <row r="13" spans="1:24" x14ac:dyDescent="0.25">
      <c r="A13" s="9" t="str">
        <f>Projects!A7</f>
        <v>W-103</v>
      </c>
      <c r="B13" s="9" t="str">
        <f>Projects!B7</f>
        <v>Tank Farm Fabrication</v>
      </c>
      <c r="C13" s="9" t="str">
        <f>Projects!D7</f>
        <v>Fixed price</v>
      </c>
      <c r="D13" s="10" t="str">
        <f>IF(Projects!E7="","",Projects!E7)</f>
        <v/>
      </c>
      <c r="E13" s="10">
        <f>IF(Projects!F7="","",Projects!F7)</f>
        <v>180000</v>
      </c>
      <c r="F13" s="11">
        <f>IF(Projects!G7="","",Projects!G7)</f>
        <v>1500</v>
      </c>
      <c r="G13" s="12">
        <f>SUMIFS(Time_Costs!$F$5:$F$52,Time_Costs!$B$5:$B$52,A13,Time_Costs!$D$5:$D$52,"Labour",Time_Costs!$G$5:$G$52,"Y")</f>
        <v>1380</v>
      </c>
      <c r="H13" s="12">
        <f>SUMIFS(Time_Costs!$F$5:$F$52,Time_Costs!$B$5:$B$52,A13,Time_Costs!$D$5:$D$52,"Labour",Time_Costs!$G$5:$G$52,"N")</f>
        <v>60</v>
      </c>
      <c r="I13" s="13">
        <f>G13+H13</f>
        <v>1440</v>
      </c>
      <c r="J13" s="14">
        <f>IF(C13="Time &amp; materials",G13*D13,0)</f>
        <v>0</v>
      </c>
      <c r="K13" s="11">
        <f>IF(C13="Time &amp; materials",SUMIFS(Time_Costs!$H$5:$H$52,Time_Costs!$B$5:$B$52,A13,Time_Costs!$D$5:$D$52,"Expense",Time_Costs!$G$5:$G$52,"Y"),0)</f>
        <v>0</v>
      </c>
      <c r="L13" s="11">
        <f>SUMIFS(Time_Costs!$H$5:$H$52,Time_Costs!$B$5:$B$52,A13,Time_Costs!$D$5:$D$52,"Expense",Time_Costs!$G$5:$G$52,"N")</f>
        <v>1100</v>
      </c>
      <c r="M13" s="15">
        <f>IF(C13="Fixed price",MIN(1,G13/F13),"")</f>
        <v>0.92</v>
      </c>
      <c r="N13" s="14">
        <f>IF(C13="Fixed price",M13*E13,J13+K13)</f>
        <v>165600</v>
      </c>
      <c r="O13" s="11">
        <f>SUMIFS(Billing!$D$5:$D$10,Billing!$C$5:$C$10,A13)</f>
        <v>150000</v>
      </c>
      <c r="P13" s="14">
        <f>MAX(N13-O13,0)</f>
        <v>15600</v>
      </c>
      <c r="Q13" s="14">
        <f>MAX(O13-N13,0)</f>
        <v>0</v>
      </c>
      <c r="R13" s="11">
        <f>SUMIFS(Billing!$E$5:$E$10,Billing!$C$5:$C$10,A13)</f>
        <v>90000</v>
      </c>
      <c r="S13" s="14">
        <f>O13-R13</f>
        <v>60000</v>
      </c>
      <c r="T13" s="16">
        <f>IF(COUNTIFS(Billing!$C$5:$C$10,A13)=0,"None",$B$3-SUMPRODUCT(MAX((Billing!$C$5:$C$10=A13)*Billing!$B$5:$B$10)))</f>
        <v>20</v>
      </c>
      <c r="U13" s="17" t="str">
        <f>IF(P13&gt;0,IF(T13="None","UNBILLED: never invoiced",IF(T13&gt;45,"UNBILLED: 45+ days since invoice","")),"")</f>
        <v/>
      </c>
      <c r="V13" s="17" t="str">
        <f>IF(Q13&gt;0,"BILLED AHEAD","")</f>
        <v/>
      </c>
      <c r="W13" s="17" t="str">
        <f>IF(AND(C13="Fixed price",M13&gt;=0.9),"NEAR BUDGET HOURS","")</f>
        <v>NEAR BUDGET HOURS</v>
      </c>
      <c r="X13" s="17" t="str">
        <f>IF(SUMIFS(Billing!$G$5:$G$10,Billing!$C$5:$C$10,A13,Billing!$H$5:$H$10,"&gt;30")&gt;0,"AR 30+ DAYS","")</f>
        <v/>
      </c>
    </row>
    <row r="14" spans="1:24" x14ac:dyDescent="0.25">
      <c r="A14" s="9" t="str">
        <f>Projects!A8</f>
        <v>W-104</v>
      </c>
      <c r="B14" s="9" t="str">
        <f>Projects!B8</f>
        <v>Site Remediation Support</v>
      </c>
      <c r="C14" s="9" t="str">
        <f>Projects!D8</f>
        <v>Time &amp; materials</v>
      </c>
      <c r="D14" s="10">
        <f>IF(Projects!E8="","",Projects!E8)</f>
        <v>105</v>
      </c>
      <c r="E14" s="10" t="str">
        <f>IF(Projects!F8="","",Projects!F8)</f>
        <v/>
      </c>
      <c r="F14" s="11" t="str">
        <f>IF(Projects!G8="","",Projects!G8)</f>
        <v/>
      </c>
      <c r="G14" s="12">
        <f>SUMIFS(Time_Costs!$F$5:$F$52,Time_Costs!$B$5:$B$52,A14,Time_Costs!$D$5:$D$52,"Labour",Time_Costs!$G$5:$G$52,"Y")</f>
        <v>140</v>
      </c>
      <c r="H14" s="12">
        <f>SUMIFS(Time_Costs!$F$5:$F$52,Time_Costs!$B$5:$B$52,A14,Time_Costs!$D$5:$D$52,"Labour",Time_Costs!$G$5:$G$52,"N")</f>
        <v>28</v>
      </c>
      <c r="I14" s="13">
        <f>G14+H14</f>
        <v>168</v>
      </c>
      <c r="J14" s="14">
        <f>IF(C14="Time &amp; materials",G14*D14,0)</f>
        <v>14700</v>
      </c>
      <c r="K14" s="11">
        <f>IF(C14="Time &amp; materials",SUMIFS(Time_Costs!$H$5:$H$52,Time_Costs!$B$5:$B$52,A14,Time_Costs!$D$5:$D$52,"Expense",Time_Costs!$G$5:$G$52,"Y"),0)</f>
        <v>2350</v>
      </c>
      <c r="L14" s="11">
        <f>SUMIFS(Time_Costs!$H$5:$H$52,Time_Costs!$B$5:$B$52,A14,Time_Costs!$D$5:$D$52,"Expense",Time_Costs!$G$5:$G$52,"N")</f>
        <v>0</v>
      </c>
      <c r="M14" s="15" t="str">
        <f>IF(C14="Fixed price",MIN(1,G14/F14),"")</f>
        <v/>
      </c>
      <c r="N14" s="14">
        <f>IF(C14="Fixed price",M14*E14,J14+K14)</f>
        <v>17050</v>
      </c>
      <c r="O14" s="11">
        <f>SUMIFS(Billing!$D$5:$D$10,Billing!$C$5:$C$10,A14)</f>
        <v>0</v>
      </c>
      <c r="P14" s="14">
        <f>MAX(N14-O14,0)</f>
        <v>17050</v>
      </c>
      <c r="Q14" s="14">
        <f>MAX(O14-N14,0)</f>
        <v>0</v>
      </c>
      <c r="R14" s="11">
        <f>SUMIFS(Billing!$E$5:$E$10,Billing!$C$5:$C$10,A14)</f>
        <v>0</v>
      </c>
      <c r="S14" s="14">
        <f>O14-R14</f>
        <v>0</v>
      </c>
      <c r="T14" s="16" t="str">
        <f>IF(COUNTIFS(Billing!$C$5:$C$10,A14)=0,"None",$B$3-SUMPRODUCT(MAX((Billing!$C$5:$C$10=A14)*Billing!$B$5:$B$10)))</f>
        <v>None</v>
      </c>
      <c r="U14" s="17" t="str">
        <f>IF(P14&gt;0,IF(T14="None","UNBILLED: never invoiced",IF(T14&gt;45,"UNBILLED: 45+ days since invoice","")),"")</f>
        <v>UNBILLED: never invoiced</v>
      </c>
      <c r="V14" s="17" t="str">
        <f>IF(Q14&gt;0,"BILLED AHEAD","")</f>
        <v/>
      </c>
      <c r="W14" s="17" t="str">
        <f>IF(AND(C14="Fixed price",M14&gt;=0.9),"NEAR BUDGET HOURS","")</f>
        <v/>
      </c>
      <c r="X14" s="17" t="str">
        <f>IF(SUMIFS(Billing!$G$5:$G$10,Billing!$C$5:$C$10,A14,Billing!$H$5:$H$10,"&gt;30")&gt;0,"AR 30+ DAYS","")</f>
        <v/>
      </c>
    </row>
    <row r="15" spans="1:24" x14ac:dyDescent="0.25">
      <c r="A15" s="9" t="str">
        <f>Projects!A9</f>
        <v>W-105</v>
      </c>
      <c r="B15" s="9" t="str">
        <f>Projects!B9</f>
        <v>Plant Turnaround Planning</v>
      </c>
      <c r="C15" s="9" t="str">
        <f>Projects!D9</f>
        <v>Fixed price</v>
      </c>
      <c r="D15" s="10" t="str">
        <f>IF(Projects!E9="","",Projects!E9)</f>
        <v/>
      </c>
      <c r="E15" s="10">
        <f>IF(Projects!F9="","",Projects!F9)</f>
        <v>72000</v>
      </c>
      <c r="F15" s="11">
        <f>IF(Projects!G9="","",Projects!G9)</f>
        <v>600</v>
      </c>
      <c r="G15" s="12">
        <f>SUMIFS(Time_Costs!$F$5:$F$52,Time_Costs!$B$5:$B$52,A15,Time_Costs!$D$5:$D$52,"Labour",Time_Costs!$G$5:$G$52,"Y")</f>
        <v>180</v>
      </c>
      <c r="H15" s="12">
        <f>SUMIFS(Time_Costs!$F$5:$F$52,Time_Costs!$B$5:$B$52,A15,Time_Costs!$D$5:$D$52,"Labour",Time_Costs!$G$5:$G$52,"N")</f>
        <v>0</v>
      </c>
      <c r="I15" s="13">
        <f>G15+H15</f>
        <v>180</v>
      </c>
      <c r="J15" s="14">
        <f>IF(C15="Time &amp; materials",G15*D15,0)</f>
        <v>0</v>
      </c>
      <c r="K15" s="11">
        <f>IF(C15="Time &amp; materials",SUMIFS(Time_Costs!$H$5:$H$52,Time_Costs!$B$5:$B$52,A15,Time_Costs!$D$5:$D$52,"Expense",Time_Costs!$G$5:$G$52,"Y"),0)</f>
        <v>0</v>
      </c>
      <c r="L15" s="11">
        <f>SUMIFS(Time_Costs!$H$5:$H$52,Time_Costs!$B$5:$B$52,A15,Time_Costs!$D$5:$D$52,"Expense",Time_Costs!$G$5:$G$52,"N")</f>
        <v>300</v>
      </c>
      <c r="M15" s="15">
        <f>IF(C15="Fixed price",MIN(1,G15/F15),"")</f>
        <v>0.3</v>
      </c>
      <c r="N15" s="14">
        <f>IF(C15="Fixed price",M15*E15,J15+K15)</f>
        <v>21600</v>
      </c>
      <c r="O15" s="11">
        <f>SUMIFS(Billing!$D$5:$D$10,Billing!$C$5:$C$10,A15)</f>
        <v>30000</v>
      </c>
      <c r="P15" s="14">
        <f>MAX(N15-O15,0)</f>
        <v>0</v>
      </c>
      <c r="Q15" s="14">
        <f>MAX(O15-N15,0)</f>
        <v>8400</v>
      </c>
      <c r="R15" s="11">
        <f>SUMIFS(Billing!$E$5:$E$10,Billing!$C$5:$C$10,A15)</f>
        <v>30000</v>
      </c>
      <c r="S15" s="14">
        <f>O15-R15</f>
        <v>0</v>
      </c>
      <c r="T15" s="16">
        <f>IF(COUNTIFS(Billing!$C$5:$C$10,A15)=0,"None",$B$3-SUMPRODUCT(MAX((Billing!$C$5:$C$10=A15)*Billing!$B$5:$B$10)))</f>
        <v>49</v>
      </c>
      <c r="U15" s="17" t="str">
        <f>IF(P15&gt;0,IF(T15="None","UNBILLED: never invoiced",IF(T15&gt;45,"UNBILLED: 45+ days since invoice","")),"")</f>
        <v/>
      </c>
      <c r="V15" s="17" t="str">
        <f>IF(Q15&gt;0,"BILLED AHEAD","")</f>
        <v>BILLED AHEAD</v>
      </c>
      <c r="W15" s="17" t="str">
        <f>IF(AND(C15="Fixed price",M15&gt;=0.9),"NEAR BUDGET HOURS","")</f>
        <v/>
      </c>
      <c r="X15" s="17" t="str">
        <f>IF(SUMIFS(Billing!$G$5:$G$10,Billing!$C$5:$C$10,A15,Billing!$H$5:$H$10,"&gt;30")&gt;0,"AR 30+ DAYS","")</f>
        <v/>
      </c>
    </row>
    <row r="16" spans="1:24" x14ac:dyDescent="0.25">
      <c r="A16" s="5" t="s">
        <v>43</v>
      </c>
      <c r="G16" s="18">
        <f t="shared" ref="G16:L16" si="0">SUM(G11:G15)</f>
        <v>2230</v>
      </c>
      <c r="H16" s="18">
        <f t="shared" si="0"/>
        <v>100</v>
      </c>
      <c r="I16" s="18">
        <f t="shared" si="0"/>
        <v>2330</v>
      </c>
      <c r="J16" s="19">
        <f t="shared" si="0"/>
        <v>71910</v>
      </c>
      <c r="K16" s="19">
        <f t="shared" si="0"/>
        <v>7390</v>
      </c>
      <c r="L16" s="19">
        <f t="shared" si="0"/>
        <v>1850</v>
      </c>
      <c r="N16" s="19">
        <f t="shared" ref="N16:S16" si="1">SUM(N11:N15)</f>
        <v>266500</v>
      </c>
      <c r="O16" s="19">
        <f t="shared" si="1"/>
        <v>233400</v>
      </c>
      <c r="P16" s="19">
        <f t="shared" si="1"/>
        <v>41500</v>
      </c>
      <c r="Q16" s="19">
        <f t="shared" si="1"/>
        <v>8400</v>
      </c>
      <c r="R16" s="19">
        <f t="shared" si="1"/>
        <v>132000</v>
      </c>
      <c r="S16" s="19">
        <f t="shared" si="1"/>
        <v>101400</v>
      </c>
    </row>
    <row r="17" spans="1:14" x14ac:dyDescent="0.25">
      <c r="A17" s="17" t="s">
        <v>44</v>
      </c>
      <c r="N17" s="5" t="str">
        <f>IF(ABS(N16-(O16+P16-Q16))&lt;0.5,"OK","DIFFERENCE")</f>
        <v>OK</v>
      </c>
    </row>
    <row r="18" spans="1:14" x14ac:dyDescent="0.25">
      <c r="A18" s="17" t="s">
        <v>45</v>
      </c>
      <c r="N18" s="5" t="str">
        <f>IF(ABS(O16-Billing!D11)&lt;0.5,"OK","DIFFERENCE")</f>
        <v>OK</v>
      </c>
    </row>
    <row r="19" spans="1:14" x14ac:dyDescent="0.25">
      <c r="A19" s="17" t="s">
        <v>46</v>
      </c>
      <c r="N19" s="5" t="str">
        <f>IF(ABS(I16-Time_Costs!F53)&lt;0.01,"OK","DIFFERENCE")</f>
        <v>OK</v>
      </c>
    </row>
  </sheetData>
  <mergeCells count="13">
    <mergeCell ref="A1:V1"/>
    <mergeCell ref="A5:B5"/>
    <mergeCell ref="C5:E5"/>
    <mergeCell ref="F5:I5"/>
    <mergeCell ref="J5:L5"/>
    <mergeCell ref="M5:N5"/>
    <mergeCell ref="O5:P5"/>
    <mergeCell ref="O6:P6"/>
    <mergeCell ref="A6:B6"/>
    <mergeCell ref="C6:E6"/>
    <mergeCell ref="F6:I6"/>
    <mergeCell ref="J6:L6"/>
    <mergeCell ref="M6:N6"/>
  </mergeCells>
  <conditionalFormatting sqref="U11:X15">
    <cfRule type="expression" dxfId="1" priority="2">
      <formula>LEN(U11)&gt;0</formula>
    </cfRule>
  </conditionalFormatting>
  <printOptions horizontalCentered="1"/>
  <pageMargins left="0.4" right="0.4" top="0.5" bottom="0.5" header="0.511811023622047" footer="0.511811023622047"/>
  <pageSetup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23"/>
  <sheetViews>
    <sheetView zoomScaleNormal="100" workbookViewId="0">
      <pane ySplit="4" topLeftCell="A5" activePane="bottomLeft" state="frozen"/>
      <selection pane="bottomLeft" sqref="A1:D1"/>
    </sheetView>
  </sheetViews>
  <sheetFormatPr defaultColWidth="8.7109375" defaultRowHeight="15" x14ac:dyDescent="0.25"/>
  <cols>
    <col min="1" max="1" width="28" customWidth="1"/>
    <col min="2" max="2" width="70" customWidth="1"/>
    <col min="3" max="3" width="36" customWidth="1"/>
    <col min="4" max="4" width="38" customWidth="1"/>
  </cols>
  <sheetData>
    <row r="1" spans="1:4" ht="30" customHeight="1" x14ac:dyDescent="0.25">
      <c r="A1" s="29" t="s">
        <v>0</v>
      </c>
      <c r="B1" s="29"/>
      <c r="C1" s="29"/>
      <c r="D1" s="29"/>
    </row>
    <row r="2" spans="1:4" ht="18" x14ac:dyDescent="0.25">
      <c r="A2" s="1" t="s">
        <v>47</v>
      </c>
    </row>
    <row r="3" spans="1:4" x14ac:dyDescent="0.25">
      <c r="A3" s="2" t="s">
        <v>48</v>
      </c>
    </row>
    <row r="4" spans="1:4" ht="31.5" customHeight="1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ht="43.5" customHeight="1" x14ac:dyDescent="0.25">
      <c r="A5" s="3" t="s">
        <v>53</v>
      </c>
      <c r="B5" s="4" t="s">
        <v>54</v>
      </c>
      <c r="C5" s="4" t="s">
        <v>55</v>
      </c>
      <c r="D5" s="4" t="s">
        <v>56</v>
      </c>
    </row>
    <row r="6" spans="1:4" ht="43.5" customHeight="1" x14ac:dyDescent="0.25">
      <c r="A6" s="3" t="s">
        <v>57</v>
      </c>
      <c r="B6" s="4" t="s">
        <v>58</v>
      </c>
      <c r="C6" s="4" t="s">
        <v>59</v>
      </c>
      <c r="D6" s="4" t="s">
        <v>60</v>
      </c>
    </row>
    <row r="7" spans="1:4" ht="43.5" customHeight="1" x14ac:dyDescent="0.25">
      <c r="A7" s="3" t="s">
        <v>61</v>
      </c>
      <c r="B7" s="4" t="s">
        <v>62</v>
      </c>
      <c r="C7" s="4" t="s">
        <v>63</v>
      </c>
      <c r="D7" s="4" t="s">
        <v>64</v>
      </c>
    </row>
    <row r="8" spans="1:4" ht="43.5" customHeight="1" x14ac:dyDescent="0.25">
      <c r="A8" s="3" t="s">
        <v>65</v>
      </c>
      <c r="B8" s="4" t="s">
        <v>66</v>
      </c>
      <c r="C8" s="4" t="s">
        <v>67</v>
      </c>
      <c r="D8" s="4" t="s">
        <v>68</v>
      </c>
    </row>
    <row r="9" spans="1:4" ht="43.5" customHeight="1" x14ac:dyDescent="0.25">
      <c r="A9" s="3" t="s">
        <v>69</v>
      </c>
      <c r="B9" s="4" t="s">
        <v>70</v>
      </c>
      <c r="C9" s="4" t="s">
        <v>71</v>
      </c>
      <c r="D9" s="4" t="s">
        <v>72</v>
      </c>
    </row>
    <row r="10" spans="1:4" ht="43.5" customHeight="1" x14ac:dyDescent="0.25">
      <c r="A10" s="3" t="s">
        <v>73</v>
      </c>
      <c r="B10" s="4" t="s">
        <v>74</v>
      </c>
      <c r="C10" s="4" t="s">
        <v>75</v>
      </c>
      <c r="D10" s="4" t="s">
        <v>76</v>
      </c>
    </row>
    <row r="11" spans="1:4" ht="43.5" customHeight="1" x14ac:dyDescent="0.25">
      <c r="A11" s="3" t="s">
        <v>77</v>
      </c>
      <c r="B11" s="4" t="s">
        <v>78</v>
      </c>
      <c r="C11" s="4" t="s">
        <v>79</v>
      </c>
      <c r="D11" s="4" t="s">
        <v>80</v>
      </c>
    </row>
    <row r="12" spans="1:4" ht="43.5" customHeight="1" x14ac:dyDescent="0.25">
      <c r="A12" s="3" t="s">
        <v>81</v>
      </c>
      <c r="B12" s="4" t="s">
        <v>82</v>
      </c>
      <c r="C12" s="4" t="s">
        <v>83</v>
      </c>
      <c r="D12" s="4" t="s">
        <v>84</v>
      </c>
    </row>
    <row r="13" spans="1:4" ht="43.5" customHeight="1" x14ac:dyDescent="0.25">
      <c r="A13" s="3" t="s">
        <v>85</v>
      </c>
      <c r="B13" s="4" t="s">
        <v>86</v>
      </c>
      <c r="C13" s="4" t="s">
        <v>87</v>
      </c>
      <c r="D13" s="4" t="s">
        <v>88</v>
      </c>
    </row>
    <row r="14" spans="1:4" ht="43.5" customHeight="1" x14ac:dyDescent="0.25">
      <c r="A14" s="3" t="s">
        <v>89</v>
      </c>
      <c r="B14" s="4" t="s">
        <v>90</v>
      </c>
      <c r="C14" s="4" t="s">
        <v>91</v>
      </c>
      <c r="D14" s="4" t="s">
        <v>92</v>
      </c>
    </row>
    <row r="15" spans="1:4" ht="43.5" customHeight="1" x14ac:dyDescent="0.25">
      <c r="A15" s="3" t="s">
        <v>93</v>
      </c>
      <c r="B15" s="4" t="s">
        <v>94</v>
      </c>
      <c r="C15" s="4" t="s">
        <v>95</v>
      </c>
      <c r="D15" s="4" t="s">
        <v>96</v>
      </c>
    </row>
    <row r="16" spans="1:4" ht="43.5" customHeight="1" x14ac:dyDescent="0.25">
      <c r="A16" s="3" t="s">
        <v>97</v>
      </c>
      <c r="B16" s="4" t="s">
        <v>98</v>
      </c>
      <c r="C16" s="4" t="s">
        <v>99</v>
      </c>
      <c r="D16" s="4" t="s">
        <v>100</v>
      </c>
    </row>
    <row r="17" spans="1:4" ht="43.5" customHeight="1" x14ac:dyDescent="0.25">
      <c r="A17" s="3" t="s">
        <v>101</v>
      </c>
      <c r="B17" s="4" t="s">
        <v>102</v>
      </c>
      <c r="C17" s="4" t="s">
        <v>103</v>
      </c>
      <c r="D17" s="4" t="s">
        <v>104</v>
      </c>
    </row>
    <row r="18" spans="1:4" ht="43.5" customHeight="1" x14ac:dyDescent="0.25">
      <c r="A18" s="3" t="s">
        <v>105</v>
      </c>
      <c r="B18" s="4" t="s">
        <v>106</v>
      </c>
      <c r="C18" s="4" t="s">
        <v>107</v>
      </c>
      <c r="D18" s="4" t="s">
        <v>108</v>
      </c>
    </row>
    <row r="19" spans="1:4" ht="43.5" customHeight="1" x14ac:dyDescent="0.25">
      <c r="A19" s="3" t="s">
        <v>109</v>
      </c>
      <c r="B19" s="4" t="s">
        <v>110</v>
      </c>
      <c r="C19" s="4" t="s">
        <v>111</v>
      </c>
      <c r="D19" s="4" t="s">
        <v>112</v>
      </c>
    </row>
    <row r="20" spans="1:4" ht="43.5" customHeight="1" x14ac:dyDescent="0.25">
      <c r="A20" s="3" t="s">
        <v>113</v>
      </c>
      <c r="B20" s="4" t="s">
        <v>114</v>
      </c>
      <c r="C20" s="4" t="s">
        <v>111</v>
      </c>
      <c r="D20" s="4" t="s">
        <v>115</v>
      </c>
    </row>
    <row r="21" spans="1:4" ht="43.5" customHeight="1" x14ac:dyDescent="0.25">
      <c r="A21" s="3" t="s">
        <v>116</v>
      </c>
      <c r="B21" s="4" t="s">
        <v>117</v>
      </c>
      <c r="C21" s="4" t="s">
        <v>111</v>
      </c>
      <c r="D21" s="4" t="s">
        <v>118</v>
      </c>
    </row>
    <row r="22" spans="1:4" ht="43.5" customHeight="1" x14ac:dyDescent="0.25">
      <c r="A22" s="3" t="s">
        <v>30</v>
      </c>
      <c r="B22" s="4" t="s">
        <v>119</v>
      </c>
      <c r="C22" s="4" t="s">
        <v>120</v>
      </c>
      <c r="D22" s="4" t="s">
        <v>121</v>
      </c>
    </row>
    <row r="23" spans="1:4" ht="43.5" customHeight="1" x14ac:dyDescent="0.25">
      <c r="A23" s="3" t="s">
        <v>122</v>
      </c>
      <c r="B23" s="4" t="s">
        <v>123</v>
      </c>
      <c r="C23" s="4" t="s">
        <v>111</v>
      </c>
      <c r="D23" s="4" t="s">
        <v>124</v>
      </c>
    </row>
  </sheetData>
  <mergeCells count="1">
    <mergeCell ref="A1:D1"/>
  </mergeCells>
  <printOptions horizontalCentered="1"/>
  <pageMargins left="0.4" right="0.4" top="0.5" bottom="0.5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9"/>
  <sheetViews>
    <sheetView zoomScaleNormal="100" workbookViewId="0">
      <selection sqref="A1:G1"/>
    </sheetView>
  </sheetViews>
  <sheetFormatPr defaultColWidth="8.7109375" defaultRowHeight="15" x14ac:dyDescent="0.25"/>
  <cols>
    <col min="1" max="1" width="10" customWidth="1"/>
    <col min="2" max="2" width="34" customWidth="1"/>
    <col min="3" max="3" width="22" customWidth="1"/>
    <col min="4" max="4" width="18" customWidth="1"/>
    <col min="5" max="5" width="16" customWidth="1"/>
    <col min="6" max="7" width="18" customWidth="1"/>
  </cols>
  <sheetData>
    <row r="1" spans="1:7" ht="30" customHeight="1" x14ac:dyDescent="0.25">
      <c r="A1" s="29" t="s">
        <v>0</v>
      </c>
      <c r="B1" s="29"/>
      <c r="C1" s="29"/>
      <c r="D1" s="29"/>
      <c r="E1" s="29"/>
      <c r="F1" s="29"/>
      <c r="G1" s="29"/>
    </row>
    <row r="2" spans="1:7" ht="18" x14ac:dyDescent="0.25">
      <c r="A2" s="1" t="s">
        <v>125</v>
      </c>
    </row>
    <row r="4" spans="1:7" ht="43.5" customHeight="1" x14ac:dyDescent="0.25">
      <c r="A4" s="8" t="s">
        <v>25</v>
      </c>
      <c r="B4" s="8" t="s">
        <v>26</v>
      </c>
      <c r="C4" s="8" t="s">
        <v>126</v>
      </c>
      <c r="D4" s="8" t="s">
        <v>27</v>
      </c>
      <c r="E4" s="8" t="s">
        <v>127</v>
      </c>
      <c r="F4" s="8" t="s">
        <v>128</v>
      </c>
      <c r="G4" s="8" t="s">
        <v>129</v>
      </c>
    </row>
    <row r="5" spans="1:7" x14ac:dyDescent="0.25">
      <c r="A5" s="20" t="s">
        <v>130</v>
      </c>
      <c r="B5" s="20" t="s">
        <v>131</v>
      </c>
      <c r="C5" s="20" t="s">
        <v>132</v>
      </c>
      <c r="D5" s="20" t="s">
        <v>133</v>
      </c>
      <c r="E5" s="21">
        <v>115</v>
      </c>
      <c r="F5" s="21"/>
      <c r="G5" s="22"/>
    </row>
    <row r="6" spans="1:7" x14ac:dyDescent="0.25">
      <c r="A6" s="20" t="s">
        <v>134</v>
      </c>
      <c r="B6" s="20" t="s">
        <v>135</v>
      </c>
      <c r="C6" s="20" t="s">
        <v>136</v>
      </c>
      <c r="D6" s="20" t="s">
        <v>133</v>
      </c>
      <c r="E6" s="21">
        <v>98</v>
      </c>
      <c r="F6" s="21"/>
      <c r="G6" s="22"/>
    </row>
    <row r="7" spans="1:7" x14ac:dyDescent="0.25">
      <c r="A7" s="20" t="s">
        <v>137</v>
      </c>
      <c r="B7" s="20" t="s">
        <v>138</v>
      </c>
      <c r="C7" s="20" t="s">
        <v>139</v>
      </c>
      <c r="D7" s="20" t="s">
        <v>65</v>
      </c>
      <c r="E7" s="21"/>
      <c r="F7" s="21">
        <v>180000</v>
      </c>
      <c r="G7" s="22">
        <v>1500</v>
      </c>
    </row>
    <row r="8" spans="1:7" x14ac:dyDescent="0.25">
      <c r="A8" s="20" t="s">
        <v>140</v>
      </c>
      <c r="B8" s="20" t="s">
        <v>141</v>
      </c>
      <c r="C8" s="20" t="s">
        <v>142</v>
      </c>
      <c r="D8" s="20" t="s">
        <v>133</v>
      </c>
      <c r="E8" s="21">
        <v>105</v>
      </c>
      <c r="F8" s="21"/>
      <c r="G8" s="22"/>
    </row>
    <row r="9" spans="1:7" x14ac:dyDescent="0.25">
      <c r="A9" s="20" t="s">
        <v>143</v>
      </c>
      <c r="B9" s="20" t="s">
        <v>144</v>
      </c>
      <c r="C9" s="20" t="s">
        <v>145</v>
      </c>
      <c r="D9" s="20" t="s">
        <v>65</v>
      </c>
      <c r="E9" s="21"/>
      <c r="F9" s="21">
        <v>72000</v>
      </c>
      <c r="G9" s="22">
        <v>600</v>
      </c>
    </row>
  </sheetData>
  <mergeCells count="1">
    <mergeCell ref="A1:G1"/>
  </mergeCells>
  <dataValidations count="1">
    <dataValidation type="list" showErrorMessage="1" error="Time &amp; materials or Fixed price." sqref="D5:D9" xr:uid="{00000000-0002-0000-0300-000000000000}">
      <formula1>"Time &amp; materials,Fixed price"</formula1>
      <formula2>0</formula2>
    </dataValidation>
  </dataValidation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53"/>
  <sheetViews>
    <sheetView zoomScaleNormal="100" workbookViewId="0">
      <pane ySplit="4" topLeftCell="A5" activePane="bottomLeft" state="frozen"/>
      <selection pane="bottomLeft" sqref="A1:I1"/>
    </sheetView>
  </sheetViews>
  <sheetFormatPr defaultColWidth="8.7109375" defaultRowHeight="15" x14ac:dyDescent="0.25"/>
  <cols>
    <col min="1" max="1" width="11" customWidth="1"/>
    <col min="2" max="2" width="9" customWidth="1"/>
    <col min="3" max="3" width="20" customWidth="1"/>
    <col min="4" max="4" width="9" customWidth="1"/>
    <col min="5" max="5" width="40" customWidth="1"/>
    <col min="6" max="6" width="8" customWidth="1"/>
    <col min="7" max="7" width="10" customWidth="1"/>
    <col min="8" max="8" width="14" customWidth="1"/>
    <col min="9" max="9" width="32" customWidth="1"/>
  </cols>
  <sheetData>
    <row r="1" spans="1:9" ht="30" customHeight="1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9" ht="18" x14ac:dyDescent="0.25">
      <c r="A2" s="1" t="s">
        <v>146</v>
      </c>
    </row>
    <row r="4" spans="1:9" ht="36" customHeight="1" x14ac:dyDescent="0.25">
      <c r="A4" s="8" t="s">
        <v>147</v>
      </c>
      <c r="B4" s="8" t="s">
        <v>25</v>
      </c>
      <c r="C4" s="8" t="s">
        <v>148</v>
      </c>
      <c r="D4" s="8" t="s">
        <v>149</v>
      </c>
      <c r="E4" s="8" t="s">
        <v>150</v>
      </c>
      <c r="F4" s="8" t="s">
        <v>151</v>
      </c>
      <c r="G4" s="8" t="s">
        <v>152</v>
      </c>
      <c r="H4" s="8" t="s">
        <v>153</v>
      </c>
      <c r="I4" s="8" t="s">
        <v>154</v>
      </c>
    </row>
    <row r="5" spans="1:9" x14ac:dyDescent="0.25">
      <c r="A5" s="23">
        <v>46241</v>
      </c>
      <c r="B5" s="20" t="s">
        <v>130</v>
      </c>
      <c r="C5" s="20" t="s">
        <v>155</v>
      </c>
      <c r="D5" s="20" t="s">
        <v>156</v>
      </c>
      <c r="E5" s="20" t="s">
        <v>157</v>
      </c>
      <c r="F5" s="24">
        <v>37</v>
      </c>
      <c r="G5" s="20" t="s">
        <v>158</v>
      </c>
      <c r="H5" s="25"/>
      <c r="I5" s="9" t="str">
        <f>INDEX(Projects!$B$5:$B$9,MATCH(B5,Projects!$A$5:$A$9,0))</f>
        <v>Compressor Station Tie-in</v>
      </c>
    </row>
    <row r="6" spans="1:9" x14ac:dyDescent="0.25">
      <c r="A6" s="23">
        <v>46241</v>
      </c>
      <c r="B6" s="20" t="s">
        <v>130</v>
      </c>
      <c r="C6" s="20" t="s">
        <v>159</v>
      </c>
      <c r="D6" s="20" t="s">
        <v>156</v>
      </c>
      <c r="E6" s="20" t="s">
        <v>157</v>
      </c>
      <c r="F6" s="24">
        <v>40.5</v>
      </c>
      <c r="G6" s="20" t="s">
        <v>158</v>
      </c>
      <c r="H6" s="25"/>
      <c r="I6" s="9" t="str">
        <f>INDEX(Projects!$B$5:$B$9,MATCH(B6,Projects!$A$5:$A$9,0))</f>
        <v>Compressor Station Tie-in</v>
      </c>
    </row>
    <row r="7" spans="1:9" x14ac:dyDescent="0.25">
      <c r="A7" s="23">
        <v>46241</v>
      </c>
      <c r="B7" s="20" t="s">
        <v>130</v>
      </c>
      <c r="C7" s="20" t="s">
        <v>159</v>
      </c>
      <c r="D7" s="20" t="s">
        <v>156</v>
      </c>
      <c r="E7" s="20" t="s">
        <v>157</v>
      </c>
      <c r="F7" s="24">
        <v>28.5</v>
      </c>
      <c r="G7" s="20" t="s">
        <v>158</v>
      </c>
      <c r="H7" s="25"/>
      <c r="I7" s="9" t="str">
        <f>INDEX(Projects!$B$5:$B$9,MATCH(B7,Projects!$A$5:$A$9,0))</f>
        <v>Compressor Station Tie-in</v>
      </c>
    </row>
    <row r="8" spans="1:9" x14ac:dyDescent="0.25">
      <c r="A8" s="23">
        <v>46241</v>
      </c>
      <c r="B8" s="20" t="s">
        <v>134</v>
      </c>
      <c r="C8" s="20" t="s">
        <v>159</v>
      </c>
      <c r="D8" s="20" t="s">
        <v>156</v>
      </c>
      <c r="E8" s="20" t="s">
        <v>157</v>
      </c>
      <c r="F8" s="24">
        <v>34</v>
      </c>
      <c r="G8" s="20" t="s">
        <v>158</v>
      </c>
      <c r="H8" s="25"/>
      <c r="I8" s="9" t="str">
        <f>INDEX(Projects!$B$5:$B$9,MATCH(B8,Projects!$A$5:$A$9,0))</f>
        <v>Pipeline Integrity Dig Program</v>
      </c>
    </row>
    <row r="9" spans="1:9" x14ac:dyDescent="0.25">
      <c r="A9" s="23">
        <v>46241</v>
      </c>
      <c r="B9" s="20" t="s">
        <v>137</v>
      </c>
      <c r="C9" s="20" t="s">
        <v>155</v>
      </c>
      <c r="D9" s="20" t="s">
        <v>156</v>
      </c>
      <c r="E9" s="20" t="s">
        <v>157</v>
      </c>
      <c r="F9" s="24">
        <v>71.5</v>
      </c>
      <c r="G9" s="20" t="s">
        <v>158</v>
      </c>
      <c r="H9" s="25"/>
      <c r="I9" s="9" t="str">
        <f>INDEX(Projects!$B$5:$B$9,MATCH(B9,Projects!$A$5:$A$9,0))</f>
        <v>Tank Farm Fabrication</v>
      </c>
    </row>
    <row r="10" spans="1:9" x14ac:dyDescent="0.25">
      <c r="A10" s="23">
        <v>46241</v>
      </c>
      <c r="B10" s="20" t="s">
        <v>137</v>
      </c>
      <c r="C10" s="20" t="s">
        <v>159</v>
      </c>
      <c r="D10" s="20" t="s">
        <v>156</v>
      </c>
      <c r="E10" s="20" t="s">
        <v>157</v>
      </c>
      <c r="F10" s="24">
        <v>84</v>
      </c>
      <c r="G10" s="20" t="s">
        <v>158</v>
      </c>
      <c r="H10" s="25"/>
      <c r="I10" s="9" t="str">
        <f>INDEX(Projects!$B$5:$B$9,MATCH(B10,Projects!$A$5:$A$9,0))</f>
        <v>Tank Farm Fabrication</v>
      </c>
    </row>
    <row r="11" spans="1:9" x14ac:dyDescent="0.25">
      <c r="A11" s="23">
        <v>46241</v>
      </c>
      <c r="B11" s="20" t="s">
        <v>140</v>
      </c>
      <c r="C11" s="20" t="s">
        <v>160</v>
      </c>
      <c r="D11" s="20" t="s">
        <v>156</v>
      </c>
      <c r="E11" s="20" t="s">
        <v>157</v>
      </c>
      <c r="F11" s="24">
        <v>45.5</v>
      </c>
      <c r="G11" s="20" t="s">
        <v>158</v>
      </c>
      <c r="H11" s="25"/>
      <c r="I11" s="9" t="str">
        <f>INDEX(Projects!$B$5:$B$9,MATCH(B11,Projects!$A$5:$A$9,0))</f>
        <v>Site Remediation Support</v>
      </c>
    </row>
    <row r="12" spans="1:9" x14ac:dyDescent="0.25">
      <c r="A12" s="23">
        <v>46241</v>
      </c>
      <c r="B12" s="20" t="s">
        <v>143</v>
      </c>
      <c r="C12" s="20" t="s">
        <v>159</v>
      </c>
      <c r="D12" s="20" t="s">
        <v>156</v>
      </c>
      <c r="E12" s="20" t="s">
        <v>157</v>
      </c>
      <c r="F12" s="24">
        <v>42.5</v>
      </c>
      <c r="G12" s="20" t="s">
        <v>158</v>
      </c>
      <c r="H12" s="25"/>
      <c r="I12" s="9" t="str">
        <f>INDEX(Projects!$B$5:$B$9,MATCH(B12,Projects!$A$5:$A$9,0))</f>
        <v>Plant Turnaround Planning</v>
      </c>
    </row>
    <row r="13" spans="1:9" x14ac:dyDescent="0.25">
      <c r="A13" s="23">
        <v>46248</v>
      </c>
      <c r="B13" s="20" t="s">
        <v>134</v>
      </c>
      <c r="C13" s="20" t="s">
        <v>155</v>
      </c>
      <c r="D13" s="20" t="s">
        <v>156</v>
      </c>
      <c r="E13" s="20" t="s">
        <v>157</v>
      </c>
      <c r="F13" s="24">
        <v>38.5</v>
      </c>
      <c r="G13" s="20" t="s">
        <v>158</v>
      </c>
      <c r="H13" s="25"/>
      <c r="I13" s="9" t="str">
        <f>INDEX(Projects!$B$5:$B$9,MATCH(B13,Projects!$A$5:$A$9,0))</f>
        <v>Pipeline Integrity Dig Program</v>
      </c>
    </row>
    <row r="14" spans="1:9" x14ac:dyDescent="0.25">
      <c r="A14" s="23">
        <v>46248</v>
      </c>
      <c r="B14" s="20" t="s">
        <v>137</v>
      </c>
      <c r="C14" s="20" t="s">
        <v>161</v>
      </c>
      <c r="D14" s="20" t="s">
        <v>156</v>
      </c>
      <c r="E14" s="20" t="s">
        <v>157</v>
      </c>
      <c r="F14" s="24">
        <v>67</v>
      </c>
      <c r="G14" s="20" t="s">
        <v>158</v>
      </c>
      <c r="H14" s="25"/>
      <c r="I14" s="9" t="str">
        <f>INDEX(Projects!$B$5:$B$9,MATCH(B14,Projects!$A$5:$A$9,0))</f>
        <v>Tank Farm Fabrication</v>
      </c>
    </row>
    <row r="15" spans="1:9" x14ac:dyDescent="0.25">
      <c r="A15" s="23">
        <v>46248</v>
      </c>
      <c r="B15" s="20" t="s">
        <v>137</v>
      </c>
      <c r="C15" s="20" t="s">
        <v>159</v>
      </c>
      <c r="D15" s="20" t="s">
        <v>156</v>
      </c>
      <c r="E15" s="20" t="s">
        <v>162</v>
      </c>
      <c r="F15" s="24">
        <v>30.5</v>
      </c>
      <c r="G15" s="20" t="s">
        <v>163</v>
      </c>
      <c r="H15" s="25"/>
      <c r="I15" s="9" t="str">
        <f>INDEX(Projects!$B$5:$B$9,MATCH(B15,Projects!$A$5:$A$9,0))</f>
        <v>Tank Farm Fabrication</v>
      </c>
    </row>
    <row r="16" spans="1:9" x14ac:dyDescent="0.25">
      <c r="A16" s="23">
        <v>46248</v>
      </c>
      <c r="B16" s="20" t="s">
        <v>140</v>
      </c>
      <c r="C16" s="20" t="s">
        <v>159</v>
      </c>
      <c r="D16" s="20" t="s">
        <v>156</v>
      </c>
      <c r="E16" s="20" t="s">
        <v>157</v>
      </c>
      <c r="F16" s="24">
        <v>22</v>
      </c>
      <c r="G16" s="20" t="s">
        <v>158</v>
      </c>
      <c r="H16" s="25"/>
      <c r="I16" s="9" t="str">
        <f>INDEX(Projects!$B$5:$B$9,MATCH(B16,Projects!$A$5:$A$9,0))</f>
        <v>Site Remediation Support</v>
      </c>
    </row>
    <row r="17" spans="1:9" x14ac:dyDescent="0.25">
      <c r="A17" s="23">
        <v>46248</v>
      </c>
      <c r="B17" s="20" t="s">
        <v>143</v>
      </c>
      <c r="C17" s="20" t="s">
        <v>155</v>
      </c>
      <c r="D17" s="20" t="s">
        <v>156</v>
      </c>
      <c r="E17" s="20" t="s">
        <v>157</v>
      </c>
      <c r="F17" s="24">
        <v>44.5</v>
      </c>
      <c r="G17" s="20" t="s">
        <v>158</v>
      </c>
      <c r="H17" s="25"/>
      <c r="I17" s="9" t="str">
        <f>INDEX(Projects!$B$5:$B$9,MATCH(B17,Projects!$A$5:$A$9,0))</f>
        <v>Plant Turnaround Planning</v>
      </c>
    </row>
    <row r="18" spans="1:9" x14ac:dyDescent="0.25">
      <c r="A18" s="23">
        <v>46254</v>
      </c>
      <c r="B18" s="20" t="s">
        <v>130</v>
      </c>
      <c r="C18" s="20" t="s">
        <v>164</v>
      </c>
      <c r="D18" s="20" t="s">
        <v>165</v>
      </c>
      <c r="E18" s="20" t="s">
        <v>166</v>
      </c>
      <c r="F18" s="24"/>
      <c r="G18" s="20" t="s">
        <v>158</v>
      </c>
      <c r="H18" s="25">
        <v>3200</v>
      </c>
      <c r="I18" s="9" t="str">
        <f>INDEX(Projects!$B$5:$B$9,MATCH(B18,Projects!$A$5:$A$9,0))</f>
        <v>Compressor Station Tie-in</v>
      </c>
    </row>
    <row r="19" spans="1:9" x14ac:dyDescent="0.25">
      <c r="A19" s="23">
        <v>46255</v>
      </c>
      <c r="B19" s="20" t="s">
        <v>130</v>
      </c>
      <c r="C19" s="20" t="s">
        <v>159</v>
      </c>
      <c r="D19" s="20" t="s">
        <v>156</v>
      </c>
      <c r="E19" s="20" t="s">
        <v>157</v>
      </c>
      <c r="F19" s="24">
        <v>36.5</v>
      </c>
      <c r="G19" s="20" t="s">
        <v>158</v>
      </c>
      <c r="H19" s="25"/>
      <c r="I19" s="9" t="str">
        <f>INDEX(Projects!$B$5:$B$9,MATCH(B19,Projects!$A$5:$A$9,0))</f>
        <v>Compressor Station Tie-in</v>
      </c>
    </row>
    <row r="20" spans="1:9" x14ac:dyDescent="0.25">
      <c r="A20" s="23">
        <v>46255</v>
      </c>
      <c r="B20" s="20" t="s">
        <v>130</v>
      </c>
      <c r="C20" s="20" t="s">
        <v>159</v>
      </c>
      <c r="D20" s="20" t="s">
        <v>156</v>
      </c>
      <c r="E20" s="20" t="s">
        <v>157</v>
      </c>
      <c r="F20" s="24">
        <v>51</v>
      </c>
      <c r="G20" s="20" t="s">
        <v>158</v>
      </c>
      <c r="H20" s="25"/>
      <c r="I20" s="9" t="str">
        <f>INDEX(Projects!$B$5:$B$9,MATCH(B20,Projects!$A$5:$A$9,0))</f>
        <v>Compressor Station Tie-in</v>
      </c>
    </row>
    <row r="21" spans="1:9" x14ac:dyDescent="0.25">
      <c r="A21" s="23">
        <v>46255</v>
      </c>
      <c r="B21" s="20" t="s">
        <v>137</v>
      </c>
      <c r="C21" s="20" t="s">
        <v>161</v>
      </c>
      <c r="D21" s="20" t="s">
        <v>156</v>
      </c>
      <c r="E21" s="20" t="s">
        <v>157</v>
      </c>
      <c r="F21" s="24">
        <v>70</v>
      </c>
      <c r="G21" s="20" t="s">
        <v>158</v>
      </c>
      <c r="H21" s="25"/>
      <c r="I21" s="9" t="str">
        <f>INDEX(Projects!$B$5:$B$9,MATCH(B21,Projects!$A$5:$A$9,0))</f>
        <v>Tank Farm Fabrication</v>
      </c>
    </row>
    <row r="22" spans="1:9" x14ac:dyDescent="0.25">
      <c r="A22" s="23">
        <v>46255</v>
      </c>
      <c r="B22" s="20" t="s">
        <v>137</v>
      </c>
      <c r="C22" s="20" t="s">
        <v>155</v>
      </c>
      <c r="D22" s="20" t="s">
        <v>156</v>
      </c>
      <c r="E22" s="20" t="s">
        <v>157</v>
      </c>
      <c r="F22" s="24">
        <v>127.5</v>
      </c>
      <c r="G22" s="20" t="s">
        <v>158</v>
      </c>
      <c r="H22" s="25"/>
      <c r="I22" s="9" t="str">
        <f>INDEX(Projects!$B$5:$B$9,MATCH(B22,Projects!$A$5:$A$9,0))</f>
        <v>Tank Farm Fabrication</v>
      </c>
    </row>
    <row r="23" spans="1:9" x14ac:dyDescent="0.25">
      <c r="A23" s="23">
        <v>46255</v>
      </c>
      <c r="B23" s="20" t="s">
        <v>137</v>
      </c>
      <c r="C23" s="20" t="s">
        <v>161</v>
      </c>
      <c r="D23" s="20" t="s">
        <v>156</v>
      </c>
      <c r="E23" s="20" t="s">
        <v>162</v>
      </c>
      <c r="F23" s="24">
        <v>13.5</v>
      </c>
      <c r="G23" s="20" t="s">
        <v>163</v>
      </c>
      <c r="H23" s="25"/>
      <c r="I23" s="9" t="str">
        <f>INDEX(Projects!$B$5:$B$9,MATCH(B23,Projects!$A$5:$A$9,0))</f>
        <v>Tank Farm Fabrication</v>
      </c>
    </row>
    <row r="24" spans="1:9" x14ac:dyDescent="0.25">
      <c r="A24" s="23">
        <v>46255</v>
      </c>
      <c r="B24" s="20" t="s">
        <v>143</v>
      </c>
      <c r="C24" s="20" t="s">
        <v>161</v>
      </c>
      <c r="D24" s="20" t="s">
        <v>156</v>
      </c>
      <c r="E24" s="20" t="s">
        <v>157</v>
      </c>
      <c r="F24" s="24">
        <v>25</v>
      </c>
      <c r="G24" s="20" t="s">
        <v>158</v>
      </c>
      <c r="H24" s="25"/>
      <c r="I24" s="9" t="str">
        <f>INDEX(Projects!$B$5:$B$9,MATCH(B24,Projects!$A$5:$A$9,0))</f>
        <v>Plant Turnaround Planning</v>
      </c>
    </row>
    <row r="25" spans="1:9" x14ac:dyDescent="0.25">
      <c r="A25" s="23">
        <v>46262</v>
      </c>
      <c r="B25" s="20" t="s">
        <v>130</v>
      </c>
      <c r="C25" s="20" t="s">
        <v>161</v>
      </c>
      <c r="D25" s="20" t="s">
        <v>156</v>
      </c>
      <c r="E25" s="20" t="s">
        <v>157</v>
      </c>
      <c r="F25" s="24">
        <v>38</v>
      </c>
      <c r="G25" s="20" t="s">
        <v>158</v>
      </c>
      <c r="H25" s="25"/>
      <c r="I25" s="9" t="str">
        <f>INDEX(Projects!$B$5:$B$9,MATCH(B25,Projects!$A$5:$A$9,0))</f>
        <v>Compressor Station Tie-in</v>
      </c>
    </row>
    <row r="26" spans="1:9" x14ac:dyDescent="0.25">
      <c r="A26" s="23">
        <v>46262</v>
      </c>
      <c r="B26" s="20" t="s">
        <v>134</v>
      </c>
      <c r="C26" s="20" t="s">
        <v>160</v>
      </c>
      <c r="D26" s="20" t="s">
        <v>156</v>
      </c>
      <c r="E26" s="20" t="s">
        <v>157</v>
      </c>
      <c r="F26" s="24">
        <v>37.5</v>
      </c>
      <c r="G26" s="20" t="s">
        <v>158</v>
      </c>
      <c r="H26" s="25"/>
      <c r="I26" s="9" t="str">
        <f>INDEX(Projects!$B$5:$B$9,MATCH(B26,Projects!$A$5:$A$9,0))</f>
        <v>Pipeline Integrity Dig Program</v>
      </c>
    </row>
    <row r="27" spans="1:9" x14ac:dyDescent="0.25">
      <c r="A27" s="23">
        <v>46262</v>
      </c>
      <c r="B27" s="20" t="s">
        <v>134</v>
      </c>
      <c r="C27" s="20" t="s">
        <v>164</v>
      </c>
      <c r="D27" s="20" t="s">
        <v>165</v>
      </c>
      <c r="E27" s="20" t="s">
        <v>167</v>
      </c>
      <c r="F27" s="24"/>
      <c r="G27" s="20" t="s">
        <v>158</v>
      </c>
      <c r="H27" s="25">
        <v>1840</v>
      </c>
      <c r="I27" s="9" t="str">
        <f>INDEX(Projects!$B$5:$B$9,MATCH(B27,Projects!$A$5:$A$9,0))</f>
        <v>Pipeline Integrity Dig Program</v>
      </c>
    </row>
    <row r="28" spans="1:9" x14ac:dyDescent="0.25">
      <c r="A28" s="23">
        <v>46262</v>
      </c>
      <c r="B28" s="20" t="s">
        <v>137</v>
      </c>
      <c r="C28" s="20" t="s">
        <v>159</v>
      </c>
      <c r="D28" s="20" t="s">
        <v>156</v>
      </c>
      <c r="E28" s="20" t="s">
        <v>157</v>
      </c>
      <c r="F28" s="24">
        <v>125.5</v>
      </c>
      <c r="G28" s="20" t="s">
        <v>158</v>
      </c>
      <c r="H28" s="25"/>
      <c r="I28" s="9" t="str">
        <f>INDEX(Projects!$B$5:$B$9,MATCH(B28,Projects!$A$5:$A$9,0))</f>
        <v>Tank Farm Fabrication</v>
      </c>
    </row>
    <row r="29" spans="1:9" x14ac:dyDescent="0.25">
      <c r="A29" s="23">
        <v>46262</v>
      </c>
      <c r="B29" s="20" t="s">
        <v>137</v>
      </c>
      <c r="C29" s="20" t="s">
        <v>159</v>
      </c>
      <c r="D29" s="20" t="s">
        <v>156</v>
      </c>
      <c r="E29" s="20" t="s">
        <v>157</v>
      </c>
      <c r="F29" s="24">
        <v>83</v>
      </c>
      <c r="G29" s="20" t="s">
        <v>158</v>
      </c>
      <c r="H29" s="25"/>
      <c r="I29" s="9" t="str">
        <f>INDEX(Projects!$B$5:$B$9,MATCH(B29,Projects!$A$5:$A$9,0))</f>
        <v>Tank Farm Fabrication</v>
      </c>
    </row>
    <row r="30" spans="1:9" x14ac:dyDescent="0.25">
      <c r="A30" s="23">
        <v>46262</v>
      </c>
      <c r="B30" s="20" t="s">
        <v>140</v>
      </c>
      <c r="C30" s="20" t="s">
        <v>161</v>
      </c>
      <c r="D30" s="20" t="s">
        <v>156</v>
      </c>
      <c r="E30" s="20" t="s">
        <v>157</v>
      </c>
      <c r="F30" s="24">
        <v>39.5</v>
      </c>
      <c r="G30" s="20" t="s">
        <v>158</v>
      </c>
      <c r="H30" s="25"/>
      <c r="I30" s="9" t="str">
        <f>INDEX(Projects!$B$5:$B$9,MATCH(B30,Projects!$A$5:$A$9,0))</f>
        <v>Site Remediation Support</v>
      </c>
    </row>
    <row r="31" spans="1:9" x14ac:dyDescent="0.25">
      <c r="A31" s="23">
        <v>46262</v>
      </c>
      <c r="B31" s="20" t="s">
        <v>143</v>
      </c>
      <c r="C31" s="20" t="s">
        <v>161</v>
      </c>
      <c r="D31" s="20" t="s">
        <v>156</v>
      </c>
      <c r="E31" s="20" t="s">
        <v>157</v>
      </c>
      <c r="F31" s="24">
        <v>43.5</v>
      </c>
      <c r="G31" s="20" t="s">
        <v>158</v>
      </c>
      <c r="H31" s="25"/>
      <c r="I31" s="9" t="str">
        <f>INDEX(Projects!$B$5:$B$9,MATCH(B31,Projects!$A$5:$A$9,0))</f>
        <v>Plant Turnaround Planning</v>
      </c>
    </row>
    <row r="32" spans="1:9" x14ac:dyDescent="0.25">
      <c r="A32" s="23">
        <v>46267</v>
      </c>
      <c r="B32" s="20" t="s">
        <v>143</v>
      </c>
      <c r="C32" s="20" t="s">
        <v>164</v>
      </c>
      <c r="D32" s="20" t="s">
        <v>165</v>
      </c>
      <c r="E32" s="20" t="s">
        <v>168</v>
      </c>
      <c r="F32" s="24"/>
      <c r="G32" s="20" t="s">
        <v>163</v>
      </c>
      <c r="H32" s="25">
        <v>300</v>
      </c>
      <c r="I32" s="9" t="str">
        <f>INDEX(Projects!$B$5:$B$9,MATCH(B32,Projects!$A$5:$A$9,0))</f>
        <v>Plant Turnaround Planning</v>
      </c>
    </row>
    <row r="33" spans="1:9" x14ac:dyDescent="0.25">
      <c r="A33" s="23">
        <v>46269</v>
      </c>
      <c r="B33" s="20" t="s">
        <v>130</v>
      </c>
      <c r="C33" s="20" t="s">
        <v>164</v>
      </c>
      <c r="D33" s="20" t="s">
        <v>165</v>
      </c>
      <c r="E33" s="20" t="s">
        <v>169</v>
      </c>
      <c r="F33" s="24"/>
      <c r="G33" s="20" t="s">
        <v>163</v>
      </c>
      <c r="H33" s="25">
        <v>450</v>
      </c>
      <c r="I33" s="9" t="str">
        <f>INDEX(Projects!$B$5:$B$9,MATCH(B33,Projects!$A$5:$A$9,0))</f>
        <v>Compressor Station Tie-in</v>
      </c>
    </row>
    <row r="34" spans="1:9" x14ac:dyDescent="0.25">
      <c r="A34" s="23">
        <v>46269</v>
      </c>
      <c r="B34" s="20" t="s">
        <v>134</v>
      </c>
      <c r="C34" s="20" t="s">
        <v>160</v>
      </c>
      <c r="D34" s="20" t="s">
        <v>156</v>
      </c>
      <c r="E34" s="20" t="s">
        <v>157</v>
      </c>
      <c r="F34" s="24">
        <v>34.5</v>
      </c>
      <c r="G34" s="20" t="s">
        <v>158</v>
      </c>
      <c r="H34" s="25"/>
      <c r="I34" s="9" t="str">
        <f>INDEX(Projects!$B$5:$B$9,MATCH(B34,Projects!$A$5:$A$9,0))</f>
        <v>Pipeline Integrity Dig Program</v>
      </c>
    </row>
    <row r="35" spans="1:9" x14ac:dyDescent="0.25">
      <c r="A35" s="23">
        <v>46269</v>
      </c>
      <c r="B35" s="20" t="s">
        <v>137</v>
      </c>
      <c r="C35" s="20" t="s">
        <v>160</v>
      </c>
      <c r="D35" s="20" t="s">
        <v>156</v>
      </c>
      <c r="E35" s="20" t="s">
        <v>157</v>
      </c>
      <c r="F35" s="24">
        <v>91</v>
      </c>
      <c r="G35" s="20" t="s">
        <v>158</v>
      </c>
      <c r="H35" s="25"/>
      <c r="I35" s="9" t="str">
        <f>INDEX(Projects!$B$5:$B$9,MATCH(B35,Projects!$A$5:$A$9,0))</f>
        <v>Tank Farm Fabrication</v>
      </c>
    </row>
    <row r="36" spans="1:9" x14ac:dyDescent="0.25">
      <c r="A36" s="23">
        <v>46269</v>
      </c>
      <c r="B36" s="20" t="s">
        <v>137</v>
      </c>
      <c r="C36" s="20" t="s">
        <v>160</v>
      </c>
      <c r="D36" s="20" t="s">
        <v>156</v>
      </c>
      <c r="E36" s="20" t="s">
        <v>157</v>
      </c>
      <c r="F36" s="24">
        <v>123.5</v>
      </c>
      <c r="G36" s="20" t="s">
        <v>158</v>
      </c>
      <c r="H36" s="25"/>
      <c r="I36" s="9" t="str">
        <f>INDEX(Projects!$B$5:$B$9,MATCH(B36,Projects!$A$5:$A$9,0))</f>
        <v>Tank Farm Fabrication</v>
      </c>
    </row>
    <row r="37" spans="1:9" x14ac:dyDescent="0.25">
      <c r="A37" s="23">
        <v>46276</v>
      </c>
      <c r="B37" s="20" t="s">
        <v>137</v>
      </c>
      <c r="C37" s="20" t="s">
        <v>159</v>
      </c>
      <c r="D37" s="20" t="s">
        <v>156</v>
      </c>
      <c r="E37" s="20" t="s">
        <v>157</v>
      </c>
      <c r="F37" s="24">
        <v>75</v>
      </c>
      <c r="G37" s="20" t="s">
        <v>158</v>
      </c>
      <c r="H37" s="25"/>
      <c r="I37" s="9" t="str">
        <f>INDEX(Projects!$B$5:$B$9,MATCH(B37,Projects!$A$5:$A$9,0))</f>
        <v>Tank Farm Fabrication</v>
      </c>
    </row>
    <row r="38" spans="1:9" x14ac:dyDescent="0.25">
      <c r="A38" s="23">
        <v>46276</v>
      </c>
      <c r="B38" s="20" t="s">
        <v>137</v>
      </c>
      <c r="C38" s="20" t="s">
        <v>164</v>
      </c>
      <c r="D38" s="20" t="s">
        <v>165</v>
      </c>
      <c r="E38" s="20" t="s">
        <v>170</v>
      </c>
      <c r="F38" s="24"/>
      <c r="G38" s="20" t="s">
        <v>163</v>
      </c>
      <c r="H38" s="25">
        <v>1100</v>
      </c>
      <c r="I38" s="9" t="str">
        <f>INDEX(Projects!$B$5:$B$9,MATCH(B38,Projects!$A$5:$A$9,0))</f>
        <v>Tank Farm Fabrication</v>
      </c>
    </row>
    <row r="39" spans="1:9" x14ac:dyDescent="0.25">
      <c r="A39" s="23">
        <v>46276</v>
      </c>
      <c r="B39" s="20" t="s">
        <v>140</v>
      </c>
      <c r="C39" s="20" t="s">
        <v>155</v>
      </c>
      <c r="D39" s="20" t="s">
        <v>156</v>
      </c>
      <c r="E39" s="20" t="s">
        <v>157</v>
      </c>
      <c r="F39" s="24">
        <v>33</v>
      </c>
      <c r="G39" s="20" t="s">
        <v>158</v>
      </c>
      <c r="H39" s="25"/>
      <c r="I39" s="9" t="str">
        <f>INDEX(Projects!$B$5:$B$9,MATCH(B39,Projects!$A$5:$A$9,0))</f>
        <v>Site Remediation Support</v>
      </c>
    </row>
    <row r="40" spans="1:9" x14ac:dyDescent="0.25">
      <c r="A40" s="23">
        <v>46280</v>
      </c>
      <c r="B40" s="20" t="s">
        <v>140</v>
      </c>
      <c r="C40" s="20" t="s">
        <v>164</v>
      </c>
      <c r="D40" s="20" t="s">
        <v>165</v>
      </c>
      <c r="E40" s="20" t="s">
        <v>171</v>
      </c>
      <c r="F40" s="24"/>
      <c r="G40" s="20" t="s">
        <v>158</v>
      </c>
      <c r="H40" s="25">
        <v>2350</v>
      </c>
      <c r="I40" s="9" t="str">
        <f>INDEX(Projects!$B$5:$B$9,MATCH(B40,Projects!$A$5:$A$9,0))</f>
        <v>Site Remediation Support</v>
      </c>
    </row>
    <row r="41" spans="1:9" x14ac:dyDescent="0.25">
      <c r="A41" s="23">
        <v>46283</v>
      </c>
      <c r="B41" s="20" t="s">
        <v>134</v>
      </c>
      <c r="C41" s="20" t="s">
        <v>159</v>
      </c>
      <c r="D41" s="20" t="s">
        <v>156</v>
      </c>
      <c r="E41" s="20" t="s">
        <v>157</v>
      </c>
      <c r="F41" s="24">
        <v>43</v>
      </c>
      <c r="G41" s="20" t="s">
        <v>158</v>
      </c>
      <c r="H41" s="25"/>
      <c r="I41" s="9" t="str">
        <f>INDEX(Projects!$B$5:$B$9,MATCH(B41,Projects!$A$5:$A$9,0))</f>
        <v>Pipeline Integrity Dig Program</v>
      </c>
    </row>
    <row r="42" spans="1:9" x14ac:dyDescent="0.25">
      <c r="A42" s="23">
        <v>46283</v>
      </c>
      <c r="B42" s="20" t="s">
        <v>137</v>
      </c>
      <c r="C42" s="20" t="s">
        <v>159</v>
      </c>
      <c r="D42" s="20" t="s">
        <v>156</v>
      </c>
      <c r="E42" s="20" t="s">
        <v>157</v>
      </c>
      <c r="F42" s="24">
        <v>102</v>
      </c>
      <c r="G42" s="20" t="s">
        <v>158</v>
      </c>
      <c r="H42" s="25"/>
      <c r="I42" s="9" t="str">
        <f>INDEX(Projects!$B$5:$B$9,MATCH(B42,Projects!$A$5:$A$9,0))</f>
        <v>Tank Farm Fabrication</v>
      </c>
    </row>
    <row r="43" spans="1:9" x14ac:dyDescent="0.25">
      <c r="A43" s="23">
        <v>46283</v>
      </c>
      <c r="B43" s="20" t="s">
        <v>137</v>
      </c>
      <c r="C43" s="20" t="s">
        <v>155</v>
      </c>
      <c r="D43" s="20" t="s">
        <v>156</v>
      </c>
      <c r="E43" s="20" t="s">
        <v>157</v>
      </c>
      <c r="F43" s="24">
        <v>115</v>
      </c>
      <c r="G43" s="20" t="s">
        <v>158</v>
      </c>
      <c r="H43" s="25"/>
      <c r="I43" s="9" t="str">
        <f>INDEX(Projects!$B$5:$B$9,MATCH(B43,Projects!$A$5:$A$9,0))</f>
        <v>Tank Farm Fabrication</v>
      </c>
    </row>
    <row r="44" spans="1:9" x14ac:dyDescent="0.25">
      <c r="A44" s="23">
        <v>46283</v>
      </c>
      <c r="B44" s="20" t="s">
        <v>143</v>
      </c>
      <c r="C44" s="20" t="s">
        <v>155</v>
      </c>
      <c r="D44" s="20" t="s">
        <v>156</v>
      </c>
      <c r="E44" s="20" t="s">
        <v>157</v>
      </c>
      <c r="F44" s="24">
        <v>24.5</v>
      </c>
      <c r="G44" s="20" t="s">
        <v>158</v>
      </c>
      <c r="H44" s="25"/>
      <c r="I44" s="9" t="str">
        <f>INDEX(Projects!$B$5:$B$9,MATCH(B44,Projects!$A$5:$A$9,0))</f>
        <v>Plant Turnaround Planning</v>
      </c>
    </row>
    <row r="45" spans="1:9" x14ac:dyDescent="0.25">
      <c r="A45" s="23">
        <v>46290</v>
      </c>
      <c r="B45" s="20" t="s">
        <v>130</v>
      </c>
      <c r="C45" s="20" t="s">
        <v>160</v>
      </c>
      <c r="D45" s="20" t="s">
        <v>156</v>
      </c>
      <c r="E45" s="20" t="s">
        <v>157</v>
      </c>
      <c r="F45" s="24">
        <v>40</v>
      </c>
      <c r="G45" s="20" t="s">
        <v>158</v>
      </c>
      <c r="H45" s="25"/>
      <c r="I45" s="9" t="str">
        <f>INDEX(Projects!$B$5:$B$9,MATCH(B45,Projects!$A$5:$A$9,0))</f>
        <v>Compressor Station Tie-in</v>
      </c>
    </row>
    <row r="46" spans="1:9" x14ac:dyDescent="0.25">
      <c r="A46" s="23">
        <v>46290</v>
      </c>
      <c r="B46" s="20" t="s">
        <v>130</v>
      </c>
      <c r="C46" s="20" t="s">
        <v>161</v>
      </c>
      <c r="D46" s="20" t="s">
        <v>156</v>
      </c>
      <c r="E46" s="20" t="s">
        <v>157</v>
      </c>
      <c r="F46" s="24">
        <v>38.5</v>
      </c>
      <c r="G46" s="20" t="s">
        <v>158</v>
      </c>
      <c r="H46" s="25"/>
      <c r="I46" s="9" t="str">
        <f>INDEX(Projects!$B$5:$B$9,MATCH(B46,Projects!$A$5:$A$9,0))</f>
        <v>Compressor Station Tie-in</v>
      </c>
    </row>
    <row r="47" spans="1:9" x14ac:dyDescent="0.25">
      <c r="A47" s="23">
        <v>46290</v>
      </c>
      <c r="B47" s="20" t="s">
        <v>130</v>
      </c>
      <c r="C47" s="20" t="s">
        <v>160</v>
      </c>
      <c r="D47" s="20" t="s">
        <v>156</v>
      </c>
      <c r="E47" s="20" t="s">
        <v>162</v>
      </c>
      <c r="F47" s="24">
        <v>12</v>
      </c>
      <c r="G47" s="20" t="s">
        <v>163</v>
      </c>
      <c r="H47" s="25"/>
      <c r="I47" s="9" t="str">
        <f>INDEX(Projects!$B$5:$B$9,MATCH(B47,Projects!$A$5:$A$9,0))</f>
        <v>Compressor Station Tie-in</v>
      </c>
    </row>
    <row r="48" spans="1:9" x14ac:dyDescent="0.25">
      <c r="A48" s="23">
        <v>46290</v>
      </c>
      <c r="B48" s="20" t="s">
        <v>134</v>
      </c>
      <c r="C48" s="20" t="s">
        <v>160</v>
      </c>
      <c r="D48" s="20" t="s">
        <v>156</v>
      </c>
      <c r="E48" s="20" t="s">
        <v>157</v>
      </c>
      <c r="F48" s="24">
        <v>32.5</v>
      </c>
      <c r="G48" s="20" t="s">
        <v>158</v>
      </c>
      <c r="H48" s="25"/>
      <c r="I48" s="9" t="str">
        <f>INDEX(Projects!$B$5:$B$9,MATCH(B48,Projects!$A$5:$A$9,0))</f>
        <v>Pipeline Integrity Dig Program</v>
      </c>
    </row>
    <row r="49" spans="1:9" x14ac:dyDescent="0.25">
      <c r="A49" s="23">
        <v>46290</v>
      </c>
      <c r="B49" s="20" t="s">
        <v>137</v>
      </c>
      <c r="C49" s="20" t="s">
        <v>155</v>
      </c>
      <c r="D49" s="20" t="s">
        <v>156</v>
      </c>
      <c r="E49" s="20" t="s">
        <v>157</v>
      </c>
      <c r="F49" s="24">
        <v>146.5</v>
      </c>
      <c r="G49" s="20" t="s">
        <v>158</v>
      </c>
      <c r="H49" s="25"/>
      <c r="I49" s="9" t="str">
        <f>INDEX(Projects!$B$5:$B$9,MATCH(B49,Projects!$A$5:$A$9,0))</f>
        <v>Tank Farm Fabrication</v>
      </c>
    </row>
    <row r="50" spans="1:9" x14ac:dyDescent="0.25">
      <c r="A50" s="23">
        <v>46290</v>
      </c>
      <c r="B50" s="20" t="s">
        <v>137</v>
      </c>
      <c r="C50" s="20" t="s">
        <v>161</v>
      </c>
      <c r="D50" s="20" t="s">
        <v>156</v>
      </c>
      <c r="E50" s="20" t="s">
        <v>157</v>
      </c>
      <c r="F50" s="24">
        <v>98.5</v>
      </c>
      <c r="G50" s="20" t="s">
        <v>158</v>
      </c>
      <c r="H50" s="25"/>
      <c r="I50" s="9" t="str">
        <f>INDEX(Projects!$B$5:$B$9,MATCH(B50,Projects!$A$5:$A$9,0))</f>
        <v>Tank Farm Fabrication</v>
      </c>
    </row>
    <row r="51" spans="1:9" x14ac:dyDescent="0.25">
      <c r="A51" s="23">
        <v>46290</v>
      </c>
      <c r="B51" s="20" t="s">
        <v>137</v>
      </c>
      <c r="C51" s="20" t="s">
        <v>160</v>
      </c>
      <c r="D51" s="20" t="s">
        <v>156</v>
      </c>
      <c r="E51" s="20" t="s">
        <v>162</v>
      </c>
      <c r="F51" s="24">
        <v>16</v>
      </c>
      <c r="G51" s="20" t="s">
        <v>163</v>
      </c>
      <c r="H51" s="25"/>
      <c r="I51" s="9" t="str">
        <f>INDEX(Projects!$B$5:$B$9,MATCH(B51,Projects!$A$5:$A$9,0))</f>
        <v>Tank Farm Fabrication</v>
      </c>
    </row>
    <row r="52" spans="1:9" x14ac:dyDescent="0.25">
      <c r="A52" s="23">
        <v>46290</v>
      </c>
      <c r="B52" s="20" t="s">
        <v>140</v>
      </c>
      <c r="C52" s="20" t="s">
        <v>161</v>
      </c>
      <c r="D52" s="20" t="s">
        <v>156</v>
      </c>
      <c r="E52" s="20" t="s">
        <v>172</v>
      </c>
      <c r="F52" s="24">
        <v>28</v>
      </c>
      <c r="G52" s="20" t="s">
        <v>163</v>
      </c>
      <c r="H52" s="25"/>
      <c r="I52" s="9" t="str">
        <f>INDEX(Projects!$B$5:$B$9,MATCH(B52,Projects!$A$5:$A$9,0))</f>
        <v>Site Remediation Support</v>
      </c>
    </row>
    <row r="53" spans="1:9" x14ac:dyDescent="0.25">
      <c r="E53" s="5" t="s">
        <v>173</v>
      </c>
      <c r="F53" s="18">
        <f>SUM(F5:F52)</f>
        <v>2330</v>
      </c>
      <c r="H53" s="26">
        <f>SUM(H5:H52)</f>
        <v>9240</v>
      </c>
    </row>
  </sheetData>
  <autoFilter ref="A4:I52" xr:uid="{00000000-0009-0000-0000-000004000000}"/>
  <mergeCells count="1">
    <mergeCell ref="A1:I1"/>
  </mergeCells>
  <dataValidations count="2">
    <dataValidation type="list" showErrorMessage="1" error="Labour or Expense." sqref="D5:D52" xr:uid="{00000000-0002-0000-0400-000001000000}">
      <formula1>"Labour,Expense"</formula1>
      <formula2>0</formula2>
    </dataValidation>
    <dataValidation type="list" showErrorMessage="1" error="Y or N." sqref="G5:G52" xr:uid="{00000000-0002-0000-0400-000002000000}">
      <formula1>"Y,N"</formula1>
      <formula2>0</formula2>
    </dataValidation>
  </dataValidations>
  <printOptions horizontalCentered="1"/>
  <pageMargins left="0.4" right="0.4" top="0.5" bottom="0.5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="Use a project code from Projects." xr:uid="{00000000-0002-0000-0400-000000000000}">
          <x14:formula1>
            <xm:f>Projects!$A$5:$A$9</xm:f>
          </x14:formula1>
          <x14:formula2>
            <xm:f>0</xm:f>
          </x14:formula2>
          <xm:sqref>B5:B52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1"/>
  <sheetViews>
    <sheetView zoomScaleNormal="100" workbookViewId="0">
      <selection activeCell="G23" sqref="G23"/>
    </sheetView>
  </sheetViews>
  <sheetFormatPr defaultColWidth="8.7109375" defaultRowHeight="15" x14ac:dyDescent="0.25"/>
  <cols>
    <col min="1" max="1" width="11" customWidth="1"/>
    <col min="2" max="2" width="12" customWidth="1"/>
    <col min="3" max="3" width="9" customWidth="1"/>
    <col min="4" max="4" width="16" customWidth="1"/>
    <col min="5" max="5" width="14" customWidth="1"/>
    <col min="6" max="6" width="12" customWidth="1"/>
    <col min="7" max="7" width="16" customWidth="1"/>
    <col min="8" max="8" width="14" customWidth="1"/>
  </cols>
  <sheetData>
    <row r="1" spans="1:8" ht="47.25" customHeight="1" x14ac:dyDescent="0.25">
      <c r="A1" s="29" t="s">
        <v>0</v>
      </c>
      <c r="B1" s="29"/>
      <c r="C1" s="29"/>
      <c r="D1" s="29"/>
      <c r="E1" s="29"/>
      <c r="F1" s="29"/>
      <c r="G1" s="29"/>
      <c r="H1" s="29"/>
    </row>
    <row r="2" spans="1:8" ht="18" x14ac:dyDescent="0.25">
      <c r="A2" s="1" t="s">
        <v>174</v>
      </c>
    </row>
    <row r="4" spans="1:8" ht="36" customHeight="1" x14ac:dyDescent="0.25">
      <c r="A4" s="8" t="s">
        <v>175</v>
      </c>
      <c r="B4" s="8" t="s">
        <v>176</v>
      </c>
      <c r="C4" s="8" t="s">
        <v>25</v>
      </c>
      <c r="D4" s="8" t="s">
        <v>177</v>
      </c>
      <c r="E4" s="8" t="s">
        <v>178</v>
      </c>
      <c r="F4" s="8" t="s">
        <v>179</v>
      </c>
      <c r="G4" s="8" t="s">
        <v>180</v>
      </c>
      <c r="H4" s="8" t="s">
        <v>181</v>
      </c>
    </row>
    <row r="5" spans="1:8" x14ac:dyDescent="0.25">
      <c r="A5" s="20" t="s">
        <v>182</v>
      </c>
      <c r="B5" s="23">
        <v>46239</v>
      </c>
      <c r="C5" s="20" t="s">
        <v>137</v>
      </c>
      <c r="D5" s="25">
        <v>90000</v>
      </c>
      <c r="E5" s="25">
        <v>90000</v>
      </c>
      <c r="F5" s="23">
        <v>46267</v>
      </c>
      <c r="G5" s="27">
        <f t="shared" ref="G5:G10" si="0">D5-E5</f>
        <v>0</v>
      </c>
      <c r="H5" s="28">
        <f>IF(G5&gt;0,Tracker!$B$3-B5,0)</f>
        <v>0</v>
      </c>
    </row>
    <row r="6" spans="1:8" x14ac:dyDescent="0.25">
      <c r="A6" s="20" t="s">
        <v>183</v>
      </c>
      <c r="B6" s="23">
        <v>46246</v>
      </c>
      <c r="C6" s="20" t="s">
        <v>143</v>
      </c>
      <c r="D6" s="25">
        <v>30000</v>
      </c>
      <c r="E6" s="25">
        <v>30000</v>
      </c>
      <c r="F6" s="23">
        <v>46283</v>
      </c>
      <c r="G6" s="27">
        <f t="shared" si="0"/>
        <v>0</v>
      </c>
      <c r="H6" s="28">
        <f>IF(G6&gt;0,Tracker!$B$3-B6,0)</f>
        <v>0</v>
      </c>
    </row>
    <row r="7" spans="1:8" x14ac:dyDescent="0.25">
      <c r="A7" s="20" t="s">
        <v>184</v>
      </c>
      <c r="B7" s="23">
        <v>46249</v>
      </c>
      <c r="C7" s="20" t="s">
        <v>134</v>
      </c>
      <c r="D7" s="25">
        <v>12000</v>
      </c>
      <c r="E7" s="25">
        <v>12000</v>
      </c>
      <c r="F7" s="23">
        <v>46275</v>
      </c>
      <c r="G7" s="27">
        <f t="shared" si="0"/>
        <v>0</v>
      </c>
      <c r="H7" s="28">
        <f>IF(G7&gt;0,Tracker!$B$3-B7,0)</f>
        <v>0</v>
      </c>
    </row>
    <row r="8" spans="1:8" x14ac:dyDescent="0.25">
      <c r="A8" s="20" t="s">
        <v>185</v>
      </c>
      <c r="B8" s="23">
        <v>46262</v>
      </c>
      <c r="C8" s="20" t="s">
        <v>130</v>
      </c>
      <c r="D8" s="25">
        <v>30000</v>
      </c>
      <c r="E8" s="25">
        <v>0</v>
      </c>
      <c r="F8" s="23"/>
      <c r="G8" s="27">
        <f t="shared" si="0"/>
        <v>30000</v>
      </c>
      <c r="H8" s="28">
        <f>IF(G8&gt;0,Tracker!$B$3-B8,0)</f>
        <v>33</v>
      </c>
    </row>
    <row r="9" spans="1:8" x14ac:dyDescent="0.25">
      <c r="A9" s="20" t="s">
        <v>186</v>
      </c>
      <c r="B9" s="23">
        <v>46275</v>
      </c>
      <c r="C9" s="20" t="s">
        <v>137</v>
      </c>
      <c r="D9" s="25">
        <v>60000</v>
      </c>
      <c r="E9" s="25">
        <v>0</v>
      </c>
      <c r="F9" s="23"/>
      <c r="G9" s="27">
        <f t="shared" si="0"/>
        <v>60000</v>
      </c>
      <c r="H9" s="28">
        <f>IF(G9&gt;0,Tracker!$B$3-B9,0)</f>
        <v>20</v>
      </c>
    </row>
    <row r="10" spans="1:8" x14ac:dyDescent="0.25">
      <c r="A10" s="20" t="s">
        <v>187</v>
      </c>
      <c r="B10" s="23">
        <v>46280</v>
      </c>
      <c r="C10" s="20" t="s">
        <v>134</v>
      </c>
      <c r="D10" s="25">
        <v>11400</v>
      </c>
      <c r="E10" s="25">
        <v>0</v>
      </c>
      <c r="F10" s="23"/>
      <c r="G10" s="27">
        <f t="shared" si="0"/>
        <v>11400</v>
      </c>
      <c r="H10" s="28">
        <f>IF(G10&gt;0,Tracker!$B$3-B10,0)</f>
        <v>15</v>
      </c>
    </row>
    <row r="11" spans="1:8" x14ac:dyDescent="0.25">
      <c r="C11" s="5" t="s">
        <v>173</v>
      </c>
      <c r="D11" s="26">
        <f>SUM(D5:D10)</f>
        <v>233400</v>
      </c>
      <c r="E11" s="26">
        <f>SUM(E5:E10)</f>
        <v>132000</v>
      </c>
      <c r="G11" s="26">
        <f>SUM(G5:G10)</f>
        <v>101400</v>
      </c>
    </row>
  </sheetData>
  <mergeCells count="1">
    <mergeCell ref="A1:H1"/>
  </mergeCells>
  <conditionalFormatting sqref="H5:H10">
    <cfRule type="cellIs" dxfId="0" priority="2" operator="greaterThan">
      <formula>30</formula>
    </cfRule>
  </conditionalFormatting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17"/>
  <sheetViews>
    <sheetView zoomScaleNormal="100" workbookViewId="0">
      <pane ySplit="4" topLeftCell="A5" activePane="bottomLeft" state="frozen"/>
      <selection pane="bottomLeft" activeCell="D5" sqref="D5"/>
    </sheetView>
  </sheetViews>
  <sheetFormatPr defaultColWidth="8.7109375" defaultRowHeight="15" x14ac:dyDescent="0.25"/>
  <cols>
    <col min="1" max="1" width="42" customWidth="1"/>
    <col min="2" max="2" width="46" customWidth="1"/>
    <col min="3" max="3" width="42" customWidth="1"/>
    <col min="4" max="4" width="48" customWidth="1"/>
  </cols>
  <sheetData>
    <row r="1" spans="1:4" ht="30" customHeight="1" x14ac:dyDescent="0.25">
      <c r="A1" s="29" t="s">
        <v>0</v>
      </c>
      <c r="B1" s="29"/>
      <c r="C1" s="29"/>
      <c r="D1" s="29"/>
    </row>
    <row r="2" spans="1:4" ht="18" x14ac:dyDescent="0.25">
      <c r="A2" s="1" t="s">
        <v>188</v>
      </c>
    </row>
    <row r="3" spans="1:4" x14ac:dyDescent="0.25">
      <c r="A3" s="2" t="s">
        <v>189</v>
      </c>
    </row>
    <row r="4" spans="1:4" ht="30" customHeight="1" x14ac:dyDescent="0.25">
      <c r="A4" s="8" t="s">
        <v>190</v>
      </c>
      <c r="B4" s="8" t="s">
        <v>244</v>
      </c>
      <c r="C4" s="8" t="s">
        <v>191</v>
      </c>
      <c r="D4" s="8" t="s">
        <v>245</v>
      </c>
    </row>
    <row r="5" spans="1:4" ht="45.75" customHeight="1" x14ac:dyDescent="0.25">
      <c r="A5" s="3" t="s">
        <v>192</v>
      </c>
      <c r="B5" s="4" t="s">
        <v>193</v>
      </c>
      <c r="C5" s="4" t="s">
        <v>194</v>
      </c>
      <c r="D5" s="4" t="s">
        <v>195</v>
      </c>
    </row>
    <row r="6" spans="1:4" ht="45.75" customHeight="1" x14ac:dyDescent="0.25">
      <c r="A6" s="3" t="s">
        <v>196</v>
      </c>
      <c r="B6" s="4" t="s">
        <v>197</v>
      </c>
      <c r="C6" s="4" t="s">
        <v>198</v>
      </c>
      <c r="D6" s="4" t="s">
        <v>199</v>
      </c>
    </row>
    <row r="7" spans="1:4" ht="45.75" customHeight="1" x14ac:dyDescent="0.25">
      <c r="A7" s="3" t="s">
        <v>200</v>
      </c>
      <c r="B7" s="4" t="s">
        <v>201</v>
      </c>
      <c r="C7" s="4" t="s">
        <v>202</v>
      </c>
      <c r="D7" s="4" t="s">
        <v>203</v>
      </c>
    </row>
    <row r="8" spans="1:4" ht="45.75" customHeight="1" x14ac:dyDescent="0.25">
      <c r="A8" s="3" t="s">
        <v>204</v>
      </c>
      <c r="B8" s="4" t="s">
        <v>205</v>
      </c>
      <c r="C8" s="4" t="s">
        <v>206</v>
      </c>
      <c r="D8" s="4" t="s">
        <v>207</v>
      </c>
    </row>
    <row r="9" spans="1:4" ht="45.75" customHeight="1" x14ac:dyDescent="0.25">
      <c r="A9" s="3" t="s">
        <v>208</v>
      </c>
      <c r="B9" s="4" t="s">
        <v>209</v>
      </c>
      <c r="C9" s="4" t="s">
        <v>210</v>
      </c>
      <c r="D9" s="4" t="s">
        <v>211</v>
      </c>
    </row>
    <row r="10" spans="1:4" ht="45.75" customHeight="1" x14ac:dyDescent="0.25">
      <c r="A10" s="3" t="s">
        <v>212</v>
      </c>
      <c r="B10" s="4" t="s">
        <v>213</v>
      </c>
      <c r="C10" s="4" t="s">
        <v>214</v>
      </c>
      <c r="D10" s="4" t="s">
        <v>215</v>
      </c>
    </row>
    <row r="11" spans="1:4" ht="45.75" customHeight="1" x14ac:dyDescent="0.25">
      <c r="A11" s="3" t="s">
        <v>216</v>
      </c>
      <c r="B11" s="4" t="s">
        <v>217</v>
      </c>
      <c r="C11" s="4" t="s">
        <v>218</v>
      </c>
      <c r="D11" s="4" t="s">
        <v>219</v>
      </c>
    </row>
    <row r="12" spans="1:4" ht="45.75" customHeight="1" x14ac:dyDescent="0.25">
      <c r="A12" s="3" t="s">
        <v>220</v>
      </c>
      <c r="B12" s="4" t="s">
        <v>221</v>
      </c>
      <c r="C12" s="4" t="s">
        <v>222</v>
      </c>
      <c r="D12" s="4" t="s">
        <v>223</v>
      </c>
    </row>
    <row r="13" spans="1:4" ht="45.75" customHeight="1" x14ac:dyDescent="0.25">
      <c r="A13" s="3" t="s">
        <v>224</v>
      </c>
      <c r="B13" s="4" t="s">
        <v>225</v>
      </c>
      <c r="C13" s="4" t="s">
        <v>226</v>
      </c>
      <c r="D13" s="4" t="s">
        <v>227</v>
      </c>
    </row>
    <row r="14" spans="1:4" ht="45.75" customHeight="1" x14ac:dyDescent="0.25">
      <c r="A14" s="3" t="s">
        <v>228</v>
      </c>
      <c r="B14" s="4" t="s">
        <v>229</v>
      </c>
      <c r="C14" s="4" t="s">
        <v>230</v>
      </c>
      <c r="D14" s="4" t="s">
        <v>231</v>
      </c>
    </row>
    <row r="15" spans="1:4" ht="45.75" customHeight="1" x14ac:dyDescent="0.25">
      <c r="A15" s="3" t="s">
        <v>232</v>
      </c>
      <c r="B15" s="4" t="s">
        <v>233</v>
      </c>
      <c r="C15" s="4" t="s">
        <v>234</v>
      </c>
      <c r="D15" s="4" t="s">
        <v>235</v>
      </c>
    </row>
    <row r="16" spans="1:4" ht="45.75" customHeight="1" x14ac:dyDescent="0.25">
      <c r="A16" s="3" t="s">
        <v>236</v>
      </c>
      <c r="B16" s="4" t="s">
        <v>237</v>
      </c>
      <c r="C16" s="4" t="s">
        <v>238</v>
      </c>
      <c r="D16" s="4" t="s">
        <v>239</v>
      </c>
    </row>
    <row r="17" spans="1:4" ht="45.75" customHeight="1" x14ac:dyDescent="0.25">
      <c r="A17" s="3" t="s">
        <v>240</v>
      </c>
      <c r="B17" s="4" t="s">
        <v>241</v>
      </c>
      <c r="C17" s="4" t="s">
        <v>92</v>
      </c>
      <c r="D17" s="4" t="s">
        <v>242</v>
      </c>
    </row>
  </sheetData>
  <mergeCells count="1">
    <mergeCell ref="A1:D1"/>
  </mergeCell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Tracker</vt:lpstr>
      <vt:lpstr>Glossary</vt:lpstr>
      <vt:lpstr>Projects</vt:lpstr>
      <vt:lpstr>Time_Costs</vt:lpstr>
      <vt:lpstr>Billing</vt:lpstr>
      <vt:lpstr>Escalation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moyosoluwa.yusuf@ucalgary.ca</dc:creator>
  <dc:description/>
  <cp:lastModifiedBy>Mo Yusuf</cp:lastModifiedBy>
  <cp:revision>1</cp:revision>
  <dcterms:created xsi:type="dcterms:W3CDTF">2026-10-09T16:59:21Z</dcterms:created>
  <dcterms:modified xsi:type="dcterms:W3CDTF">2026-10-13T16:27:59Z</dcterms:modified>
  <dc:language>en-US</dc:language>
</cp:coreProperties>
</file>